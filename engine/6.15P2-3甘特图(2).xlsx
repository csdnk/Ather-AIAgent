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P2甘特图" sheetId="1" r:id="rId1"/>
    <sheet name="P2计划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<sst xmlns="http://schemas.openxmlformats.org/spreadsheetml/2006/main" count="161" uniqueCount="113">
  <si>
    <t>P2项目甘特图</t>
  </si>
  <si>
    <t>项目周期：2026-06-05—2027-06-30</t>
  </si>
  <si>
    <t>范围：E1 向量引擎、E2 对象引擎、E3 图引擎及公共、联调、测试和验收工作</t>
  </si>
  <si>
    <t>阶段</t>
  </si>
  <si>
    <t>引擎/类别</t>
  </si>
  <si>
    <t>任务</t>
  </si>
  <si>
    <t>计划开始日</t>
  </si>
  <si>
    <t>天数</t>
  </si>
  <si>
    <t>计划结束日</t>
  </si>
  <si>
    <t>阶段成果 / 说明</t>
  </si>
  <si>
    <t xml:space="preserve">第一阶段
项目启动与方案设计
</t>
  </si>
  <si>
    <t>公共</t>
  </si>
  <si>
    <t>项目需求确认、范围澄清与实施计划</t>
  </si>
  <si>
    <t>形成需求清单、范围边界及总体实施计划</t>
  </si>
  <si>
    <t>第一阶段
项目启动与方案设计
（30%）</t>
  </si>
  <si>
    <t>总体架构、统一接口及开发验证环境方案</t>
  </si>
  <si>
    <t>完成总体架构、接口边界和开发验证方案评审</t>
  </si>
  <si>
    <t>E1 向量引擎</t>
  </si>
  <si>
    <t>E1功能范围与技术方案设计</t>
  </si>
  <si>
    <t>明确数据模型、索引检索及接口方案</t>
  </si>
  <si>
    <t>E2 对象引擎</t>
  </si>
  <si>
    <t>E2功能范围与技术方案设计</t>
  </si>
  <si>
    <t>明确对象管理、读写访问及接口方案</t>
  </si>
  <si>
    <t>E3 图引擎</t>
  </si>
  <si>
    <t>E3功能范围与技术方案设计</t>
  </si>
  <si>
    <t>明确图数据、查询遍历及融合接口方案</t>
  </si>
  <si>
    <t xml:space="preserve">第二阶段
研发实施与集成验证
</t>
  </si>
  <si>
    <t>统一接口、公共组件及基础运行环境建设</t>
  </si>
  <si>
    <t>形成三引擎共享的基础接口和开发验证环境</t>
  </si>
  <si>
    <t>第二阶段
研发实施与集成验证
（60%）</t>
  </si>
  <si>
    <t>E1数据模型、基础写入与存储能力</t>
  </si>
  <si>
    <t>完成基础数据组织、写入和存储流程</t>
  </si>
  <si>
    <t>E1索引构建、查询与基础检索能力</t>
  </si>
  <si>
    <t>完成基础索引、查询和检索能力</t>
  </si>
  <si>
    <t>E1接口完善、原型联调与性能基线验证</t>
  </si>
  <si>
    <t>完成原型所需接口、联调和阶段性性能验证</t>
  </si>
  <si>
    <t>E2对象模型、元数据与基础管理能力</t>
  </si>
  <si>
    <t>完成对象模型、元数据和基础管理流程</t>
  </si>
  <si>
    <t>E2对象读写、访问接口与基础兼容能力</t>
  </si>
  <si>
    <t>完成对象写入、读取、删除、列举等基础能力</t>
  </si>
  <si>
    <t>E2接口完善、原型联调与稳定性验证</t>
  </si>
  <si>
    <t>完成原型所需接口、联调和阶段性稳定性验证</t>
  </si>
  <si>
    <t>E3图数据模型、存储与基础管理能力</t>
  </si>
  <si>
    <t>完成节点、边、属性的数据组织和管理流程</t>
  </si>
  <si>
    <t>E3基础图查询、遍历与接口能力</t>
  </si>
  <si>
    <t>完成基础查询、遍历和接口能力</t>
  </si>
  <si>
    <t>E3接口完善、原型联调与融合接口预留</t>
  </si>
  <si>
    <t>完成原型所需接口、联调及后续融合能力接口准备</t>
  </si>
  <si>
    <t>三引擎</t>
  </si>
  <si>
    <t>三引擎基础接口联调与原型集成</t>
  </si>
  <si>
    <t>完成基础能力联调、部署集成和演示环境准备</t>
  </si>
  <si>
    <t>里程碑</t>
  </si>
  <si>
    <t>最小原型系统交付与阶段演示</t>
  </si>
  <si>
    <t>形成可运行的最小原型系统，完成阶段演示和评审</t>
  </si>
  <si>
    <t>E1检索能力增强、性能优化与稳定性完善</t>
  </si>
  <si>
    <t>结合测试结果持续优化检索性能、稳定性和可用性</t>
  </si>
  <si>
    <t>E2对象能力增强、性能优化与稳定性完善</t>
  </si>
  <si>
    <t>结合测试结果持续优化吞吐、兼容性和恢复能力</t>
  </si>
  <si>
    <t>E3图查询增强及向量—图融合能力建设</t>
  </si>
  <si>
    <t>完善图查询、遍历及融合查询能力</t>
  </si>
  <si>
    <t>系统联调、混合测试与问题整改</t>
  </si>
  <si>
    <t>完成系统级联调、功能测试、性能验证和问题整改</t>
  </si>
  <si>
    <t>预验收准备与阶段成果整理</t>
  </si>
  <si>
    <t>完成预验收材料、阶段成果和交付内容梳理</t>
  </si>
  <si>
    <t xml:space="preserve">第三阶段
验收交付
</t>
  </si>
  <si>
    <t>成果完善、问题收敛与版本冻结</t>
  </si>
  <si>
    <t>完成交付版本确认及遗留问题收敛</t>
  </si>
  <si>
    <t>第三阶段
验收交付
（10%）</t>
  </si>
  <si>
    <t>技术文档、部署说明与测试材料定稿</t>
  </si>
  <si>
    <t>形成合同约定的文档、代码及测试材料</t>
  </si>
  <si>
    <t>最终验收、成果移交与技术支持</t>
  </si>
  <si>
    <t>配合完成最终验收和成果移交</t>
  </si>
  <si>
    <t>AetherEngine E1 / E2 / E3 客户版计划说明</t>
  </si>
  <si>
    <t>计划周期</t>
  </si>
  <si>
    <t>总体目标</t>
  </si>
  <si>
    <t>主要工作范围</t>
  </si>
  <si>
    <t>阶段成果</t>
  </si>
  <si>
    <t>执行说明</t>
  </si>
  <si>
    <t>第一阶段：项目启动与方案设计</t>
  </si>
  <si>
    <t>2026-06-05—2026-06-30</t>
  </si>
  <si>
    <t>完成需求确认、总体设计和实施准备</t>
  </si>
  <si>
    <t>E1/E2/E3总体方案、统一接口边界、实施安排</t>
  </si>
  <si>
    <t>阶段方案及评审材料</t>
  </si>
  <si>
    <t>以需求确认和方案评审结果为依据推进</t>
  </si>
  <si>
    <t>第二阶段：研发实施与集成验证</t>
  </si>
  <si>
    <t>2026-07-01—2027-03-31</t>
  </si>
  <si>
    <t>完成三引擎核心能力建设、联调验证和预验收准备</t>
  </si>
  <si>
    <t>E1/E2/E3研发、公共能力、融合联调、系统测试、性能验证</t>
  </si>
  <si>
    <t>阶段性代码、技术材料、测试和预验收成果</t>
  </si>
  <si>
    <t>具体任务节奏、并行关系和实现路径可动态调整</t>
  </si>
  <si>
    <t>第三阶段：验收交付</t>
  </si>
  <si>
    <t>2027-04-01—2027-06-05</t>
  </si>
  <si>
    <t>完成成果完善、最终验收和成果移交</t>
  </si>
  <si>
    <t>版本收敛、文档整理、验收支持、成果移交</t>
  </si>
  <si>
    <t>合同约定的代码、文档和测试材料</t>
  </si>
  <si>
    <t>最终以合同约定的范围、指标及交付物为准</t>
  </si>
  <si>
    <t>三引擎工作范围</t>
  </si>
  <si>
    <t>引擎</t>
  </si>
  <si>
    <t>工作范围</t>
  </si>
  <si>
    <t>阶段安排</t>
  </si>
  <si>
    <t>目标说明</t>
  </si>
  <si>
    <t>交付形式</t>
  </si>
  <si>
    <t>备注</t>
  </si>
  <si>
    <t>向量数据管理、索引检索、查询及相关优化</t>
  </si>
  <si>
    <t>方案设计—研发实施—联调验证—验收交付</t>
  </si>
  <si>
    <t>满足合同约定的功能和性能要求</t>
  </si>
  <si>
    <t>代码、文档、测试材料</t>
  </si>
  <si>
    <t>具体技术路线可根据实际验证结果优化</t>
  </si>
  <si>
    <t>对象数据管理、读写访问、元数据及相关优化</t>
  </si>
  <si>
    <t>具体实现节奏可结合环境和测试情况调整</t>
  </si>
  <si>
    <t>图数据管理、图查询、遍历及融合能力</t>
  </si>
  <si>
    <t>融合能力和性能优化安排可动态调整</t>
  </si>
  <si>
    <t>柔性执行原则：本计划为面向客户的总体阶段计划，用于说明项目推进方向和主要时间窗口，不作为单项任务的刚性完成承诺。项目实施过程中，各项工作的先后顺序、并行方式、阶段性交付内容及技术实现路径，可根据双方确认的需求、基础环境、接口条件、测试结果和项目实际进展进行合理调整；合同约定的项目范围、功能指标、交付成果和最终验收要求保持不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</si>
</sst>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;;;"/>
  </numFmts>
  <fonts count="36">
    <font>
      <sz val="11"/>
      <name val="Carlito"/>
      <charset val="134"/>
    </font>
    <font>
      <b/>
      <sz val="16"/>
      <color rgb="FFFFFFFF"/>
      <name val="Microsoft YaHei"/>
      <charset val="134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b/>
      <sz val="12"/>
      <color rgb="FFFFFFFF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92400E"/>
      <name val="Microsoft YaHei"/>
      <charset val="134"/>
    </font>
    <font>
      <b/>
      <sz val="18"/>
      <color rgb="FFFFFFFF"/>
      <name val="Microsoft YaHei"/>
      <charset val="134"/>
    </font>
    <font>
      <b/>
      <sz val="10"/>
      <color rgb="FF7C2D12"/>
      <name val="Microsoft YaHei"/>
      <charset val="134"/>
    </font>
    <font>
      <sz val="10"/>
      <color rgb="FF7C2D12"/>
      <name val="Microsoft YaHei"/>
      <charset val="134"/>
    </font>
    <font>
      <b/>
      <sz val="10"/>
      <color rgb="FF9A3412"/>
      <name val="Microsoft YaHei"/>
      <charset val="134"/>
    </font>
    <font>
      <b/>
      <sz val="11"/>
      <color rgb="FF7C2D12"/>
      <name val="Microsoft YaHei"/>
      <charset val="134"/>
    </font>
    <font>
      <b/>
      <sz val="9"/>
      <color rgb="FFFFFFFF"/>
      <name val="Microsoft YaHei"/>
      <charset val="134"/>
    </font>
    <font>
      <sz val="9"/>
      <color rgb="FF111827"/>
      <name val="Microsoft YaHei"/>
      <charset val="134"/>
    </font>
    <font>
      <b/>
      <sz val="9"/>
      <color rgb="FF111827"/>
      <name val="Microsoft YaHei"/>
      <charset val="134"/>
    </font>
    <font>
      <b/>
      <sz val="9"/>
      <color rgb="FF7F1D1D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D9681F"/>
        <bgColor indexed="64"/>
      </patternFill>
    </fill>
    <fill>
      <patternFill patternType="solid">
        <fgColor rgb="FFF07F2F"/>
        <bgColor indexed="64"/>
      </patternFill>
    </fill>
    <fill>
      <patternFill patternType="solid">
        <fgColor rgb="FF17324D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1E6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FF4EB"/>
        <bgColor indexed="64"/>
      </patternFill>
    </fill>
    <fill>
      <patternFill patternType="solid">
        <fgColor rgb="FFF59E0B"/>
        <bgColor indexed="64"/>
      </patternFill>
    </fill>
    <fill>
      <patternFill patternType="solid">
        <fgColor rgb="FFFFF9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2A06B"/>
        <bgColor indexed="64"/>
      </patternFill>
    </fill>
    <fill>
      <patternFill patternType="solid">
        <fgColor rgb="FF8B5CF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EA580C"/>
        <bgColor indexed="64"/>
      </patternFill>
    </fill>
    <fill>
      <patternFill patternType="solid">
        <fgColor rgb="FFB91C1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202020"/>
      </bottom>
      <diagonal/>
    </border>
    <border>
      <left style="thin">
        <color rgb="FFB45309"/>
      </left>
      <right/>
      <top style="thin">
        <color rgb="FFB45309"/>
      </top>
      <bottom/>
      <diagonal/>
    </border>
    <border>
      <left/>
      <right/>
      <top style="thin">
        <color rgb="FFB45309"/>
      </top>
      <bottom/>
      <diagonal/>
    </border>
    <border>
      <left/>
      <right style="thin">
        <color rgb="FFB45309"/>
      </right>
      <top style="thin">
        <color rgb="FFB45309"/>
      </top>
      <bottom/>
      <diagonal/>
    </border>
    <border>
      <left style="thin">
        <color rgb="FFB45309"/>
      </left>
      <right/>
      <top/>
      <bottom/>
      <diagonal/>
    </border>
    <border>
      <left/>
      <right style="thin">
        <color rgb="FFB45309"/>
      </right>
      <top/>
      <bottom/>
      <diagonal/>
    </border>
    <border>
      <left style="thin">
        <color rgb="FFB45309"/>
      </left>
      <right style="thin">
        <color rgb="FF202020"/>
      </right>
      <top style="thin">
        <color rgb="FF202020"/>
      </top>
      <bottom style="thin">
        <color rgb="FFB45309"/>
      </bottom>
      <diagonal/>
    </border>
    <border>
      <left style="thin">
        <color rgb="FF202020"/>
      </left>
      <right style="thin">
        <color rgb="FF202020"/>
      </right>
      <top style="thin">
        <color rgb="FF202020"/>
      </top>
      <bottom style="thin">
        <color rgb="FFB45309"/>
      </bottom>
      <diagonal/>
    </border>
    <border>
      <left style="thin">
        <color rgb="FF202020"/>
      </left>
      <right style="thin">
        <color rgb="FFB45309"/>
      </right>
      <top style="thin">
        <color rgb="FF202020"/>
      </top>
      <bottom style="thin">
        <color rgb="FFB45309"/>
      </bottom>
      <diagonal/>
    </border>
    <border>
      <left style="thin">
        <color rgb="FFB45309"/>
      </left>
      <right/>
      <top/>
      <bottom style="thin">
        <color rgb="FFB45309"/>
      </bottom>
      <diagonal/>
    </border>
    <border>
      <left/>
      <right/>
      <top/>
      <bottom style="thin">
        <color rgb="FFB45309"/>
      </bottom>
      <diagonal/>
    </border>
    <border>
      <left/>
      <right style="thin">
        <color rgb="FFB45309"/>
      </right>
      <top/>
      <bottom style="thin">
        <color rgb="FFB4530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8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9" borderId="16" applyNumberFormat="0" applyAlignment="0" applyProtection="0">
      <alignment vertical="center"/>
    </xf>
    <xf numFmtId="0" fontId="26" fillId="20" borderId="17" applyNumberFormat="0" applyAlignment="0" applyProtection="0">
      <alignment vertical="center"/>
    </xf>
    <xf numFmtId="0" fontId="27" fillId="20" borderId="16" applyNumberFormat="0" applyAlignment="0" applyProtection="0">
      <alignment vertical="center"/>
    </xf>
    <xf numFmtId="0" fontId="28" fillId="21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4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4" fillId="44" borderId="0" applyNumberFormat="0" applyBorder="0" applyAlignment="0" applyProtection="0">
      <alignment vertical="center"/>
    </xf>
    <xf numFmtId="0" fontId="34" fillId="45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47" borderId="0" applyNumberFormat="0" applyBorder="0" applyAlignment="0" applyProtection="0">
      <alignment vertical="center"/>
    </xf>
    <xf numFmtId="0" fontId="34" fillId="48" borderId="0" applyNumberFormat="0" applyBorder="0" applyAlignment="0" applyProtection="0">
      <alignment vertical="center"/>
    </xf>
    <xf numFmtId="0" fontId="0" fillId="0" borderId="0"/>
  </cellStyleXfs>
  <cellXfs count="54">
    <xf numFmtId="0" fontId="0" fillId="0" borderId="0" xfId="0"/>
    <xf numFmtId="0" fontId="1" fillId="2" borderId="0" xfId="49" applyFont="1" applyFill="1" applyAlignment="1">
      <alignment horizontal="center" vertical="center"/>
    </xf>
    <xf numFmtId="0" fontId="2" fillId="3" borderId="1" xfId="49" applyFont="1" applyFill="1" applyBorder="1" applyAlignment="1">
      <alignment horizontal="center" vertical="center" wrapText="1"/>
    </xf>
    <xf numFmtId="0" fontId="3" fillId="0" borderId="1" xfId="49" applyFont="1" applyBorder="1" applyAlignment="1">
      <alignment vertical="center" wrapText="1"/>
    </xf>
    <xf numFmtId="0" fontId="4" fillId="4" borderId="0" xfId="49" applyFont="1" applyFill="1" applyAlignment="1">
      <alignment horizontal="center" vertical="center"/>
    </xf>
    <xf numFmtId="0" fontId="5" fillId="3" borderId="1" xfId="49" applyFont="1" applyFill="1" applyBorder="1" applyAlignment="1">
      <alignment horizontal="center" vertical="center" wrapText="1"/>
    </xf>
    <xf numFmtId="0" fontId="6" fillId="5" borderId="2" xfId="49" applyFont="1" applyFill="1" applyBorder="1" applyAlignment="1">
      <alignment vertical="center" wrapText="1"/>
    </xf>
    <xf numFmtId="0" fontId="6" fillId="5" borderId="3" xfId="49" applyFont="1" applyFill="1" applyBorder="1" applyAlignment="1">
      <alignment vertical="center" wrapText="1"/>
    </xf>
    <xf numFmtId="0" fontId="6" fillId="5" borderId="4" xfId="49" applyFont="1" applyFill="1" applyBorder="1" applyAlignment="1">
      <alignment vertical="center" wrapText="1"/>
    </xf>
    <xf numFmtId="0" fontId="6" fillId="5" borderId="5" xfId="49" applyFont="1" applyFill="1" applyBorder="1" applyAlignment="1">
      <alignment horizontal="center" vertical="center" wrapText="1"/>
    </xf>
    <xf numFmtId="0" fontId="6" fillId="5" borderId="0" xfId="49" applyFont="1" applyFill="1" applyAlignment="1">
      <alignment horizontal="center" vertical="center" wrapText="1"/>
    </xf>
    <xf numFmtId="0" fontId="6" fillId="5" borderId="6" xfId="49" applyFont="1" applyFill="1" applyBorder="1" applyAlignment="1">
      <alignment horizontal="center" vertical="center" wrapText="1"/>
    </xf>
    <xf numFmtId="0" fontId="6" fillId="5" borderId="7" xfId="49" applyFont="1" applyFill="1" applyBorder="1" applyAlignment="1">
      <alignment horizontal="center" vertical="center" wrapText="1"/>
    </xf>
    <xf numFmtId="0" fontId="6" fillId="5" borderId="8" xfId="49" applyFont="1" applyFill="1" applyBorder="1" applyAlignment="1">
      <alignment horizontal="center" vertical="center" wrapText="1"/>
    </xf>
    <xf numFmtId="0" fontId="6" fillId="5" borderId="9" xfId="49" applyFont="1" applyFill="1" applyBorder="1" applyAlignment="1">
      <alignment horizontal="center" vertical="center" wrapText="1"/>
    </xf>
    <xf numFmtId="0" fontId="6" fillId="5" borderId="10" xfId="49" applyFont="1" applyFill="1" applyBorder="1" applyAlignment="1">
      <alignment vertical="center" wrapText="1"/>
    </xf>
    <xf numFmtId="0" fontId="6" fillId="5" borderId="11" xfId="49" applyFont="1" applyFill="1" applyBorder="1" applyAlignment="1">
      <alignment vertical="center" wrapText="1"/>
    </xf>
    <xf numFmtId="0" fontId="6" fillId="5" borderId="12" xfId="49" applyFont="1" applyFill="1" applyBorder="1" applyAlignment="1">
      <alignment vertical="center" wrapText="1"/>
    </xf>
    <xf numFmtId="0" fontId="7" fillId="2" borderId="0" xfId="49" applyFont="1" applyFill="1" applyAlignment="1">
      <alignment horizontal="center" vertical="center"/>
    </xf>
    <xf numFmtId="0" fontId="8" fillId="6" borderId="0" xfId="49" applyFont="1" applyFill="1" applyAlignment="1">
      <alignment horizontal="center" vertical="center"/>
    </xf>
    <xf numFmtId="0" fontId="9" fillId="7" borderId="0" xfId="49" applyFont="1" applyFill="1" applyAlignment="1">
      <alignment horizontal="left" vertical="center"/>
    </xf>
    <xf numFmtId="0" fontId="10" fillId="7" borderId="0" xfId="49" applyFont="1" applyFill="1" applyAlignment="1">
      <alignment horizontal="center" vertical="center"/>
    </xf>
    <xf numFmtId="57" fontId="2" fillId="3" borderId="1" xfId="49" applyNumberFormat="1" applyFont="1" applyFill="1" applyBorder="1" applyAlignment="1">
      <alignment horizontal="center" vertical="center" wrapText="1"/>
    </xf>
    <xf numFmtId="0" fontId="11" fillId="8" borderId="1" xfId="49" applyFont="1" applyFill="1" applyBorder="1" applyAlignment="1">
      <alignment horizontal="center" vertical="center" wrapText="1"/>
    </xf>
    <xf numFmtId="0" fontId="12" fillId="9" borderId="1" xfId="49" applyFont="1" applyFill="1" applyBorder="1" applyAlignment="1">
      <alignment horizontal="center" vertical="center" wrapText="1"/>
    </xf>
    <xf numFmtId="0" fontId="12" fillId="3" borderId="1" xfId="49" applyFont="1" applyFill="1" applyBorder="1" applyAlignment="1">
      <alignment vertical="center" wrapText="1"/>
    </xf>
    <xf numFmtId="176" fontId="13" fillId="0" borderId="1" xfId="49" applyNumberFormat="1" applyFont="1" applyBorder="1" applyAlignment="1">
      <alignment horizontal="center" vertical="center" wrapText="1"/>
    </xf>
    <xf numFmtId="1" fontId="13" fillId="0" borderId="1" xfId="49" applyNumberFormat="1" applyFont="1" applyBorder="1" applyAlignment="1">
      <alignment horizontal="center" vertical="center" wrapText="1"/>
    </xf>
    <xf numFmtId="0" fontId="13" fillId="10" borderId="1" xfId="49" applyFont="1" applyFill="1" applyBorder="1" applyAlignment="1">
      <alignment vertical="center" wrapText="1"/>
    </xf>
    <xf numFmtId="177" fontId="13" fillId="9" borderId="1" xfId="49" applyNumberFormat="1" applyFont="1" applyFill="1" applyBorder="1" applyAlignment="1">
      <alignment horizontal="center" vertical="center" wrapText="1"/>
    </xf>
    <xf numFmtId="177" fontId="13" fillId="11" borderId="1" xfId="49" applyNumberFormat="1" applyFont="1" applyFill="1" applyBorder="1" applyAlignment="1">
      <alignment horizontal="center" vertical="center" wrapText="1"/>
    </xf>
    <xf numFmtId="0" fontId="12" fillId="12" borderId="1" xfId="49" applyFont="1" applyFill="1" applyBorder="1" applyAlignment="1">
      <alignment horizontal="center" vertical="center" wrapText="1"/>
    </xf>
    <xf numFmtId="177" fontId="13" fillId="12" borderId="1" xfId="49" applyNumberFormat="1" applyFont="1" applyFill="1" applyBorder="1" applyAlignment="1">
      <alignment horizontal="center" vertical="center" wrapText="1"/>
    </xf>
    <xf numFmtId="0" fontId="12" fillId="13" borderId="1" xfId="49" applyFont="1" applyFill="1" applyBorder="1" applyAlignment="1">
      <alignment horizontal="center" vertical="center" wrapText="1"/>
    </xf>
    <xf numFmtId="177" fontId="13" fillId="13" borderId="1" xfId="49" applyNumberFormat="1" applyFont="1" applyFill="1" applyBorder="1" applyAlignment="1">
      <alignment horizontal="center" vertical="center" wrapText="1"/>
    </xf>
    <xf numFmtId="0" fontId="12" fillId="14" borderId="1" xfId="49" applyFont="1" applyFill="1" applyBorder="1" applyAlignment="1">
      <alignment horizontal="center" vertical="center" wrapText="1"/>
    </xf>
    <xf numFmtId="177" fontId="13" fillId="14" borderId="1" xfId="49" applyNumberFormat="1" applyFont="1" applyFill="1" applyBorder="1" applyAlignment="1">
      <alignment horizontal="center" vertical="center" wrapText="1"/>
    </xf>
    <xf numFmtId="176" fontId="14" fillId="15" borderId="1" xfId="49" applyNumberFormat="1" applyFont="1" applyFill="1" applyBorder="1" applyAlignment="1">
      <alignment horizontal="center" vertical="center" wrapText="1"/>
    </xf>
    <xf numFmtId="1" fontId="14" fillId="15" borderId="1" xfId="49" applyNumberFormat="1" applyFont="1" applyFill="1" applyBorder="1" applyAlignment="1">
      <alignment horizontal="center" vertical="center" wrapText="1"/>
    </xf>
    <xf numFmtId="0" fontId="14" fillId="10" borderId="1" xfId="49" applyFont="1" applyFill="1" applyBorder="1" applyAlignment="1">
      <alignment vertical="center" wrapText="1"/>
    </xf>
    <xf numFmtId="0" fontId="12" fillId="3" borderId="1" xfId="49" applyFont="1" applyFill="1" applyBorder="1" applyAlignment="1">
      <alignment horizontal="left" vertical="center" wrapText="1"/>
    </xf>
    <xf numFmtId="176" fontId="14" fillId="5" borderId="1" xfId="49" applyNumberFormat="1" applyFont="1" applyFill="1" applyBorder="1" applyAlignment="1">
      <alignment horizontal="center" vertical="center" wrapText="1"/>
    </xf>
    <xf numFmtId="1" fontId="14" fillId="5" borderId="1" xfId="49" applyNumberFormat="1" applyFont="1" applyFill="1" applyBorder="1" applyAlignment="1">
      <alignment horizontal="center" vertical="center" wrapText="1"/>
    </xf>
    <xf numFmtId="0" fontId="14" fillId="10" borderId="1" xfId="49" applyFont="1" applyFill="1" applyBorder="1" applyAlignment="1">
      <alignment horizontal="left" vertical="center" wrapText="1"/>
    </xf>
    <xf numFmtId="177" fontId="14" fillId="11" borderId="1" xfId="49" applyNumberFormat="1" applyFont="1" applyFill="1" applyBorder="1" applyAlignment="1">
      <alignment horizontal="left" vertical="center" wrapText="1"/>
    </xf>
    <xf numFmtId="177" fontId="14" fillId="14" borderId="1" xfId="49" applyNumberFormat="1" applyFont="1" applyFill="1" applyBorder="1" applyAlignment="1">
      <alignment horizontal="left" vertical="center" wrapText="1"/>
    </xf>
    <xf numFmtId="0" fontId="12" fillId="16" borderId="1" xfId="49" applyFont="1" applyFill="1" applyBorder="1" applyAlignment="1">
      <alignment horizontal="center" vertical="center" wrapText="1"/>
    </xf>
    <xf numFmtId="177" fontId="14" fillId="16" borderId="1" xfId="49" applyNumberFormat="1" applyFont="1" applyFill="1" applyBorder="1" applyAlignment="1">
      <alignment horizontal="left" vertical="center" wrapText="1"/>
    </xf>
    <xf numFmtId="0" fontId="12" fillId="17" borderId="1" xfId="49" applyFont="1" applyFill="1" applyBorder="1" applyAlignment="1">
      <alignment horizontal="center" vertical="center" wrapText="1"/>
    </xf>
    <xf numFmtId="0" fontId="15" fillId="15" borderId="1" xfId="49" applyFont="1" applyFill="1" applyBorder="1" applyAlignment="1">
      <alignment vertical="center" wrapText="1"/>
    </xf>
    <xf numFmtId="176" fontId="15" fillId="15" borderId="1" xfId="49" applyNumberFormat="1" applyFont="1" applyFill="1" applyBorder="1" applyAlignment="1">
      <alignment horizontal="center" vertical="center" wrapText="1"/>
    </xf>
    <xf numFmtId="1" fontId="15" fillId="15" borderId="1" xfId="49" applyNumberFormat="1" applyFont="1" applyFill="1" applyBorder="1" applyAlignment="1">
      <alignment horizontal="center" vertical="center" wrapText="1"/>
    </xf>
    <xf numFmtId="177" fontId="13" fillId="17" borderId="1" xfId="49" applyNumberFormat="1" applyFont="1" applyFill="1" applyBorder="1" applyAlignment="1">
      <alignment horizontal="center" vertical="center" wrapText="1"/>
    </xf>
    <xf numFmtId="177" fontId="13" fillId="16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9"/>
  <sheetViews>
    <sheetView tabSelected="1" topLeftCell="A3" workbookViewId="0">
      <selection activeCell="C4" sqref="C4"/>
    </sheetView>
  </sheetViews>
  <sheetFormatPr defaultColWidth="9" defaultRowHeight="14.25"/>
  <cols>
    <col min="1" max="1" width="18" customWidth="1"/>
    <col min="2" max="2" width="14" customWidth="1"/>
    <col min="3" max="3" width="39" customWidth="1"/>
    <col min="4" max="4" width="12" customWidth="1"/>
    <col min="5" max="5" width="8" customWidth="1"/>
    <col min="6" max="6" width="12" customWidth="1"/>
    <col min="7" max="7" width="35" customWidth="1"/>
    <col min="8" max="11" width="10.875" customWidth="1"/>
    <col min="12" max="14" width="12.125" customWidth="1"/>
    <col min="15" max="20" width="10.875" customWidth="1"/>
  </cols>
  <sheetData>
    <row r="1" ht="21.4" customHeight="1" spans="1:20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ht="15.95" customHeight="1" spans="1:20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ht="15.95" customHeight="1" spans="1:20">
      <c r="A3" s="20" t="s">
        <v>2</v>
      </c>
      <c r="B3" s="20"/>
      <c r="C3" s="20"/>
      <c r="D3" s="20"/>
      <c r="E3" s="20"/>
      <c r="F3" s="20"/>
      <c r="G3" s="20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ht="22.7" customHeight="1" spans="1:20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2">
        <v>46174</v>
      </c>
      <c r="I4" s="22">
        <v>46204</v>
      </c>
      <c r="J4" s="22">
        <v>46235</v>
      </c>
      <c r="K4" s="22">
        <v>46266</v>
      </c>
      <c r="L4" s="22">
        <v>46296</v>
      </c>
      <c r="M4" s="22">
        <v>46327</v>
      </c>
      <c r="N4" s="22">
        <v>46357</v>
      </c>
      <c r="O4" s="22">
        <v>46388</v>
      </c>
      <c r="P4" s="22">
        <v>46419</v>
      </c>
      <c r="Q4" s="22">
        <v>46447</v>
      </c>
      <c r="R4" s="22">
        <v>46478</v>
      </c>
      <c r="S4" s="22">
        <v>46508</v>
      </c>
      <c r="T4" s="22">
        <v>46539</v>
      </c>
    </row>
    <row r="5" ht="27.95" customHeight="1" spans="1:20">
      <c r="A5" s="23" t="s">
        <v>10</v>
      </c>
      <c r="B5" s="24" t="s">
        <v>11</v>
      </c>
      <c r="C5" s="25" t="s">
        <v>12</v>
      </c>
      <c r="D5" s="26">
        <v>46178</v>
      </c>
      <c r="E5" s="27">
        <f t="shared" ref="E5:E29" si="0">F5-D5+1</f>
        <v>16</v>
      </c>
      <c r="F5" s="26">
        <v>46193</v>
      </c>
      <c r="G5" s="28" t="s">
        <v>13</v>
      </c>
      <c r="H5" s="29">
        <f t="shared" ref="H5:T20" si="1">MAX(0,MIN($F5,EOMONTH(H$4,0))-MAX($D5,H$4)+1)</f>
        <v>16</v>
      </c>
      <c r="I5" s="30">
        <f t="shared" si="1"/>
        <v>0</v>
      </c>
      <c r="J5" s="30">
        <f t="shared" si="1"/>
        <v>0</v>
      </c>
      <c r="K5" s="30">
        <f t="shared" si="1"/>
        <v>0</v>
      </c>
      <c r="L5" s="30">
        <f t="shared" si="1"/>
        <v>0</v>
      </c>
      <c r="M5" s="30">
        <f t="shared" si="1"/>
        <v>0</v>
      </c>
      <c r="N5" s="30">
        <f t="shared" si="1"/>
        <v>0</v>
      </c>
      <c r="O5" s="30">
        <f t="shared" si="1"/>
        <v>0</v>
      </c>
      <c r="P5" s="30">
        <f t="shared" si="1"/>
        <v>0</v>
      </c>
      <c r="Q5" s="30">
        <f t="shared" si="1"/>
        <v>0</v>
      </c>
      <c r="R5" s="30">
        <f t="shared" si="1"/>
        <v>0</v>
      </c>
      <c r="S5" s="30">
        <f t="shared" si="1"/>
        <v>0</v>
      </c>
      <c r="T5" s="30">
        <f t="shared" si="1"/>
        <v>0</v>
      </c>
    </row>
    <row r="6" ht="27.95" customHeight="1" spans="1:20">
      <c r="A6" s="23" t="s">
        <v>14</v>
      </c>
      <c r="B6" s="24" t="s">
        <v>11</v>
      </c>
      <c r="C6" s="25" t="s">
        <v>15</v>
      </c>
      <c r="D6" s="26">
        <v>46183</v>
      </c>
      <c r="E6" s="27">
        <f t="shared" si="0"/>
        <v>21</v>
      </c>
      <c r="F6" s="26">
        <v>46203</v>
      </c>
      <c r="G6" s="28" t="s">
        <v>16</v>
      </c>
      <c r="H6" s="29">
        <f t="shared" si="1"/>
        <v>21</v>
      </c>
      <c r="I6" s="30">
        <f t="shared" si="1"/>
        <v>0</v>
      </c>
      <c r="J6" s="30">
        <f t="shared" si="1"/>
        <v>0</v>
      </c>
      <c r="K6" s="30">
        <f t="shared" si="1"/>
        <v>0</v>
      </c>
      <c r="L6" s="30">
        <f t="shared" si="1"/>
        <v>0</v>
      </c>
      <c r="M6" s="30">
        <f t="shared" si="1"/>
        <v>0</v>
      </c>
      <c r="N6" s="30">
        <f t="shared" si="1"/>
        <v>0</v>
      </c>
      <c r="O6" s="30">
        <f t="shared" si="1"/>
        <v>0</v>
      </c>
      <c r="P6" s="30">
        <f t="shared" si="1"/>
        <v>0</v>
      </c>
      <c r="Q6" s="30">
        <f t="shared" si="1"/>
        <v>0</v>
      </c>
      <c r="R6" s="30">
        <f t="shared" si="1"/>
        <v>0</v>
      </c>
      <c r="S6" s="30">
        <f t="shared" si="1"/>
        <v>0</v>
      </c>
      <c r="T6" s="30">
        <f t="shared" si="1"/>
        <v>0</v>
      </c>
    </row>
    <row r="7" ht="27.95" customHeight="1" spans="1:20">
      <c r="A7" s="23" t="s">
        <v>14</v>
      </c>
      <c r="B7" s="31" t="s">
        <v>17</v>
      </c>
      <c r="C7" s="25" t="s">
        <v>18</v>
      </c>
      <c r="D7" s="26">
        <v>46183</v>
      </c>
      <c r="E7" s="27">
        <f t="shared" si="0"/>
        <v>21</v>
      </c>
      <c r="F7" s="26">
        <v>46203</v>
      </c>
      <c r="G7" s="28" t="s">
        <v>19</v>
      </c>
      <c r="H7" s="32">
        <f t="shared" si="1"/>
        <v>21</v>
      </c>
      <c r="I7" s="30">
        <f t="shared" si="1"/>
        <v>0</v>
      </c>
      <c r="J7" s="30">
        <f t="shared" si="1"/>
        <v>0</v>
      </c>
      <c r="K7" s="30">
        <f t="shared" si="1"/>
        <v>0</v>
      </c>
      <c r="L7" s="30">
        <f t="shared" si="1"/>
        <v>0</v>
      </c>
      <c r="M7" s="30">
        <f t="shared" si="1"/>
        <v>0</v>
      </c>
      <c r="N7" s="30">
        <f t="shared" si="1"/>
        <v>0</v>
      </c>
      <c r="O7" s="30">
        <f t="shared" si="1"/>
        <v>0</v>
      </c>
      <c r="P7" s="30">
        <f t="shared" si="1"/>
        <v>0</v>
      </c>
      <c r="Q7" s="30">
        <f t="shared" si="1"/>
        <v>0</v>
      </c>
      <c r="R7" s="30">
        <f t="shared" si="1"/>
        <v>0</v>
      </c>
      <c r="S7" s="30">
        <f t="shared" si="1"/>
        <v>0</v>
      </c>
      <c r="T7" s="30">
        <f t="shared" si="1"/>
        <v>0</v>
      </c>
    </row>
    <row r="8" ht="27.95" customHeight="1" spans="1:20">
      <c r="A8" s="23" t="s">
        <v>14</v>
      </c>
      <c r="B8" s="33" t="s">
        <v>20</v>
      </c>
      <c r="C8" s="25" t="s">
        <v>21</v>
      </c>
      <c r="D8" s="26">
        <v>46183</v>
      </c>
      <c r="E8" s="27">
        <f t="shared" si="0"/>
        <v>21</v>
      </c>
      <c r="F8" s="26">
        <v>46203</v>
      </c>
      <c r="G8" s="28" t="s">
        <v>22</v>
      </c>
      <c r="H8" s="34">
        <f t="shared" si="1"/>
        <v>21</v>
      </c>
      <c r="I8" s="30">
        <f t="shared" si="1"/>
        <v>0</v>
      </c>
      <c r="J8" s="30">
        <f t="shared" si="1"/>
        <v>0</v>
      </c>
      <c r="K8" s="30">
        <f t="shared" si="1"/>
        <v>0</v>
      </c>
      <c r="L8" s="30">
        <f t="shared" si="1"/>
        <v>0</v>
      </c>
      <c r="M8" s="30">
        <f t="shared" si="1"/>
        <v>0</v>
      </c>
      <c r="N8" s="30">
        <f t="shared" si="1"/>
        <v>0</v>
      </c>
      <c r="O8" s="30">
        <f t="shared" si="1"/>
        <v>0</v>
      </c>
      <c r="P8" s="30">
        <f t="shared" si="1"/>
        <v>0</v>
      </c>
      <c r="Q8" s="30">
        <f t="shared" si="1"/>
        <v>0</v>
      </c>
      <c r="R8" s="30">
        <f t="shared" si="1"/>
        <v>0</v>
      </c>
      <c r="S8" s="30">
        <f t="shared" si="1"/>
        <v>0</v>
      </c>
      <c r="T8" s="30">
        <f t="shared" si="1"/>
        <v>0</v>
      </c>
    </row>
    <row r="9" ht="27.95" customHeight="1" spans="1:20">
      <c r="A9" s="23" t="s">
        <v>14</v>
      </c>
      <c r="B9" s="35" t="s">
        <v>23</v>
      </c>
      <c r="C9" s="25" t="s">
        <v>24</v>
      </c>
      <c r="D9" s="26">
        <v>46183</v>
      </c>
      <c r="E9" s="27">
        <f t="shared" si="0"/>
        <v>21</v>
      </c>
      <c r="F9" s="26">
        <v>46203</v>
      </c>
      <c r="G9" s="28" t="s">
        <v>25</v>
      </c>
      <c r="H9" s="36">
        <f t="shared" si="1"/>
        <v>21</v>
      </c>
      <c r="I9" s="30">
        <f t="shared" si="1"/>
        <v>0</v>
      </c>
      <c r="J9" s="30">
        <f t="shared" si="1"/>
        <v>0</v>
      </c>
      <c r="K9" s="30">
        <f t="shared" si="1"/>
        <v>0</v>
      </c>
      <c r="L9" s="30">
        <f t="shared" si="1"/>
        <v>0</v>
      </c>
      <c r="M9" s="30">
        <f t="shared" si="1"/>
        <v>0</v>
      </c>
      <c r="N9" s="30">
        <f t="shared" si="1"/>
        <v>0</v>
      </c>
      <c r="O9" s="30">
        <f t="shared" si="1"/>
        <v>0</v>
      </c>
      <c r="P9" s="30">
        <f t="shared" si="1"/>
        <v>0</v>
      </c>
      <c r="Q9" s="30">
        <f t="shared" si="1"/>
        <v>0</v>
      </c>
      <c r="R9" s="30">
        <f t="shared" si="1"/>
        <v>0</v>
      </c>
      <c r="S9" s="30">
        <f t="shared" si="1"/>
        <v>0</v>
      </c>
      <c r="T9" s="30">
        <f t="shared" si="1"/>
        <v>0</v>
      </c>
    </row>
    <row r="10" ht="27.95" customHeight="1" spans="1:20">
      <c r="A10" s="23" t="s">
        <v>26</v>
      </c>
      <c r="B10" s="24" t="s">
        <v>11</v>
      </c>
      <c r="C10" s="25" t="s">
        <v>27</v>
      </c>
      <c r="D10" s="26">
        <v>46204</v>
      </c>
      <c r="E10" s="27">
        <f t="shared" si="0"/>
        <v>62</v>
      </c>
      <c r="F10" s="26">
        <v>46265</v>
      </c>
      <c r="G10" s="28" t="s">
        <v>28</v>
      </c>
      <c r="H10" s="30">
        <f t="shared" si="1"/>
        <v>0</v>
      </c>
      <c r="I10" s="29">
        <f t="shared" si="1"/>
        <v>31</v>
      </c>
      <c r="J10" s="29">
        <f t="shared" si="1"/>
        <v>31</v>
      </c>
      <c r="K10" s="30">
        <f t="shared" si="1"/>
        <v>0</v>
      </c>
      <c r="L10" s="30">
        <f t="shared" si="1"/>
        <v>0</v>
      </c>
      <c r="M10" s="30">
        <f t="shared" si="1"/>
        <v>0</v>
      </c>
      <c r="N10" s="30">
        <f t="shared" si="1"/>
        <v>0</v>
      </c>
      <c r="O10" s="30">
        <f t="shared" si="1"/>
        <v>0</v>
      </c>
      <c r="P10" s="30">
        <f t="shared" si="1"/>
        <v>0</v>
      </c>
      <c r="Q10" s="30">
        <f t="shared" si="1"/>
        <v>0</v>
      </c>
      <c r="R10" s="30">
        <f t="shared" si="1"/>
        <v>0</v>
      </c>
      <c r="S10" s="30">
        <f t="shared" si="1"/>
        <v>0</v>
      </c>
      <c r="T10" s="30">
        <f t="shared" si="1"/>
        <v>0</v>
      </c>
    </row>
    <row r="11" ht="27.95" customHeight="1" spans="1:20">
      <c r="A11" s="23" t="s">
        <v>29</v>
      </c>
      <c r="B11" s="31" t="s">
        <v>17</v>
      </c>
      <c r="C11" s="25" t="s">
        <v>30</v>
      </c>
      <c r="D11" s="26">
        <v>46204</v>
      </c>
      <c r="E11" s="27">
        <f t="shared" si="0"/>
        <v>46</v>
      </c>
      <c r="F11" s="26">
        <v>46249</v>
      </c>
      <c r="G11" s="28" t="s">
        <v>31</v>
      </c>
      <c r="H11" s="30">
        <f t="shared" si="1"/>
        <v>0</v>
      </c>
      <c r="I11" s="32">
        <f t="shared" si="1"/>
        <v>31</v>
      </c>
      <c r="J11" s="32">
        <f t="shared" si="1"/>
        <v>15</v>
      </c>
      <c r="K11" s="30">
        <f t="shared" si="1"/>
        <v>0</v>
      </c>
      <c r="L11" s="30">
        <f t="shared" si="1"/>
        <v>0</v>
      </c>
      <c r="M11" s="30">
        <f t="shared" si="1"/>
        <v>0</v>
      </c>
      <c r="N11" s="30">
        <f t="shared" si="1"/>
        <v>0</v>
      </c>
      <c r="O11" s="30">
        <f t="shared" si="1"/>
        <v>0</v>
      </c>
      <c r="P11" s="30">
        <f t="shared" si="1"/>
        <v>0</v>
      </c>
      <c r="Q11" s="30">
        <f t="shared" si="1"/>
        <v>0</v>
      </c>
      <c r="R11" s="30">
        <f t="shared" si="1"/>
        <v>0</v>
      </c>
      <c r="S11" s="30">
        <f t="shared" si="1"/>
        <v>0</v>
      </c>
      <c r="T11" s="30">
        <f t="shared" si="1"/>
        <v>0</v>
      </c>
    </row>
    <row r="12" ht="27.95" customHeight="1" spans="1:20">
      <c r="A12" s="23" t="s">
        <v>29</v>
      </c>
      <c r="B12" s="31" t="s">
        <v>17</v>
      </c>
      <c r="C12" s="25" t="s">
        <v>32</v>
      </c>
      <c r="D12" s="26">
        <v>46235</v>
      </c>
      <c r="E12" s="27">
        <f t="shared" si="0"/>
        <v>61</v>
      </c>
      <c r="F12" s="26">
        <v>46295</v>
      </c>
      <c r="G12" s="28" t="s">
        <v>33</v>
      </c>
      <c r="H12" s="30">
        <f t="shared" si="1"/>
        <v>0</v>
      </c>
      <c r="I12" s="30">
        <f t="shared" si="1"/>
        <v>0</v>
      </c>
      <c r="J12" s="32">
        <f t="shared" si="1"/>
        <v>31</v>
      </c>
      <c r="K12" s="32">
        <f t="shared" si="1"/>
        <v>30</v>
      </c>
      <c r="L12" s="30">
        <f t="shared" si="1"/>
        <v>0</v>
      </c>
      <c r="M12" s="30">
        <f t="shared" si="1"/>
        <v>0</v>
      </c>
      <c r="N12" s="30">
        <f t="shared" si="1"/>
        <v>0</v>
      </c>
      <c r="O12" s="30">
        <f t="shared" si="1"/>
        <v>0</v>
      </c>
      <c r="P12" s="30">
        <f t="shared" si="1"/>
        <v>0</v>
      </c>
      <c r="Q12" s="30">
        <f t="shared" si="1"/>
        <v>0</v>
      </c>
      <c r="R12" s="30">
        <f t="shared" si="1"/>
        <v>0</v>
      </c>
      <c r="S12" s="30">
        <f t="shared" si="1"/>
        <v>0</v>
      </c>
      <c r="T12" s="30">
        <f t="shared" si="1"/>
        <v>0</v>
      </c>
    </row>
    <row r="13" ht="27.95" customHeight="1" spans="1:20">
      <c r="A13" s="23" t="s">
        <v>29</v>
      </c>
      <c r="B13" s="31" t="s">
        <v>17</v>
      </c>
      <c r="C13" s="25" t="s">
        <v>34</v>
      </c>
      <c r="D13" s="26">
        <v>46280</v>
      </c>
      <c r="E13" s="27">
        <f t="shared" si="0"/>
        <v>47</v>
      </c>
      <c r="F13" s="26">
        <v>46326</v>
      </c>
      <c r="G13" s="28" t="s">
        <v>35</v>
      </c>
      <c r="H13" s="30">
        <f t="shared" si="1"/>
        <v>0</v>
      </c>
      <c r="I13" s="30">
        <f t="shared" si="1"/>
        <v>0</v>
      </c>
      <c r="J13" s="30">
        <f t="shared" si="1"/>
        <v>0</v>
      </c>
      <c r="K13" s="32">
        <f t="shared" si="1"/>
        <v>16</v>
      </c>
      <c r="L13" s="32">
        <f t="shared" si="1"/>
        <v>31</v>
      </c>
      <c r="M13" s="30">
        <f t="shared" si="1"/>
        <v>0</v>
      </c>
      <c r="N13" s="30">
        <f t="shared" si="1"/>
        <v>0</v>
      </c>
      <c r="O13" s="30">
        <f t="shared" si="1"/>
        <v>0</v>
      </c>
      <c r="P13" s="30">
        <f t="shared" si="1"/>
        <v>0</v>
      </c>
      <c r="Q13" s="30">
        <f t="shared" si="1"/>
        <v>0</v>
      </c>
      <c r="R13" s="30">
        <f t="shared" si="1"/>
        <v>0</v>
      </c>
      <c r="S13" s="30">
        <f t="shared" si="1"/>
        <v>0</v>
      </c>
      <c r="T13" s="30">
        <f t="shared" si="1"/>
        <v>0</v>
      </c>
    </row>
    <row r="14" ht="27.95" customHeight="1" spans="1:20">
      <c r="A14" s="23" t="s">
        <v>29</v>
      </c>
      <c r="B14" s="33" t="s">
        <v>20</v>
      </c>
      <c r="C14" s="25" t="s">
        <v>36</v>
      </c>
      <c r="D14" s="26">
        <v>46204</v>
      </c>
      <c r="E14" s="27">
        <f t="shared" si="0"/>
        <v>46</v>
      </c>
      <c r="F14" s="26">
        <v>46249</v>
      </c>
      <c r="G14" s="28" t="s">
        <v>37</v>
      </c>
      <c r="H14" s="30">
        <f t="shared" si="1"/>
        <v>0</v>
      </c>
      <c r="I14" s="34">
        <f t="shared" si="1"/>
        <v>31</v>
      </c>
      <c r="J14" s="34">
        <f t="shared" si="1"/>
        <v>15</v>
      </c>
      <c r="K14" s="30">
        <f t="shared" si="1"/>
        <v>0</v>
      </c>
      <c r="L14" s="30">
        <f t="shared" si="1"/>
        <v>0</v>
      </c>
      <c r="M14" s="30">
        <f t="shared" si="1"/>
        <v>0</v>
      </c>
      <c r="N14" s="30">
        <f t="shared" si="1"/>
        <v>0</v>
      </c>
      <c r="O14" s="30">
        <f t="shared" si="1"/>
        <v>0</v>
      </c>
      <c r="P14" s="30">
        <f t="shared" si="1"/>
        <v>0</v>
      </c>
      <c r="Q14" s="30">
        <f t="shared" si="1"/>
        <v>0</v>
      </c>
      <c r="R14" s="30">
        <f t="shared" si="1"/>
        <v>0</v>
      </c>
      <c r="S14" s="30">
        <f t="shared" si="1"/>
        <v>0</v>
      </c>
      <c r="T14" s="30">
        <f t="shared" si="1"/>
        <v>0</v>
      </c>
    </row>
    <row r="15" ht="27.95" customHeight="1" spans="1:20">
      <c r="A15" s="23" t="s">
        <v>29</v>
      </c>
      <c r="B15" s="33" t="s">
        <v>20</v>
      </c>
      <c r="C15" s="25" t="s">
        <v>38</v>
      </c>
      <c r="D15" s="37">
        <v>46218</v>
      </c>
      <c r="E15" s="38">
        <f t="shared" si="0"/>
        <v>78</v>
      </c>
      <c r="F15" s="37">
        <v>46295</v>
      </c>
      <c r="G15" s="39" t="s">
        <v>39</v>
      </c>
      <c r="H15" s="30">
        <f t="shared" si="1"/>
        <v>0</v>
      </c>
      <c r="I15" s="34">
        <f t="shared" si="1"/>
        <v>17</v>
      </c>
      <c r="J15" s="34">
        <f t="shared" si="1"/>
        <v>31</v>
      </c>
      <c r="K15" s="34">
        <f t="shared" si="1"/>
        <v>30</v>
      </c>
      <c r="L15" s="30">
        <f t="shared" si="1"/>
        <v>0</v>
      </c>
      <c r="M15" s="30">
        <f t="shared" si="1"/>
        <v>0</v>
      </c>
      <c r="N15" s="30">
        <f t="shared" si="1"/>
        <v>0</v>
      </c>
      <c r="O15" s="30">
        <f t="shared" si="1"/>
        <v>0</v>
      </c>
      <c r="P15" s="30">
        <f t="shared" si="1"/>
        <v>0</v>
      </c>
      <c r="Q15" s="30">
        <f t="shared" si="1"/>
        <v>0</v>
      </c>
      <c r="R15" s="30">
        <f t="shared" si="1"/>
        <v>0</v>
      </c>
      <c r="S15" s="30">
        <f t="shared" si="1"/>
        <v>0</v>
      </c>
      <c r="T15" s="30">
        <f t="shared" si="1"/>
        <v>0</v>
      </c>
    </row>
    <row r="16" ht="27.95" customHeight="1" spans="1:20">
      <c r="A16" s="23" t="s">
        <v>29</v>
      </c>
      <c r="B16" s="33" t="s">
        <v>20</v>
      </c>
      <c r="C16" s="25" t="s">
        <v>40</v>
      </c>
      <c r="D16" s="26">
        <v>46266</v>
      </c>
      <c r="E16" s="27">
        <f t="shared" si="0"/>
        <v>61</v>
      </c>
      <c r="F16" s="26">
        <v>46326</v>
      </c>
      <c r="G16" s="28" t="s">
        <v>41</v>
      </c>
      <c r="H16" s="30">
        <f t="shared" si="1"/>
        <v>0</v>
      </c>
      <c r="I16" s="30">
        <f t="shared" si="1"/>
        <v>0</v>
      </c>
      <c r="J16" s="30">
        <f t="shared" si="1"/>
        <v>0</v>
      </c>
      <c r="K16" s="34">
        <f t="shared" si="1"/>
        <v>30</v>
      </c>
      <c r="L16" s="34">
        <f t="shared" si="1"/>
        <v>31</v>
      </c>
      <c r="M16" s="30">
        <f t="shared" si="1"/>
        <v>0</v>
      </c>
      <c r="N16" s="30">
        <f t="shared" si="1"/>
        <v>0</v>
      </c>
      <c r="O16" s="30">
        <f t="shared" si="1"/>
        <v>0</v>
      </c>
      <c r="P16" s="30">
        <f t="shared" si="1"/>
        <v>0</v>
      </c>
      <c r="Q16" s="30">
        <f t="shared" si="1"/>
        <v>0</v>
      </c>
      <c r="R16" s="30">
        <f t="shared" si="1"/>
        <v>0</v>
      </c>
      <c r="S16" s="30">
        <f t="shared" si="1"/>
        <v>0</v>
      </c>
      <c r="T16" s="30">
        <f t="shared" si="1"/>
        <v>0</v>
      </c>
    </row>
    <row r="17" ht="27.95" customHeight="1" spans="1:20">
      <c r="A17" s="23" t="s">
        <v>29</v>
      </c>
      <c r="B17" s="35" t="s">
        <v>23</v>
      </c>
      <c r="C17" s="25" t="s">
        <v>42</v>
      </c>
      <c r="D17" s="26">
        <v>46204</v>
      </c>
      <c r="E17" s="27">
        <f t="shared" si="0"/>
        <v>46</v>
      </c>
      <c r="F17" s="26">
        <v>46249</v>
      </c>
      <c r="G17" s="28" t="s">
        <v>43</v>
      </c>
      <c r="H17" s="30">
        <f t="shared" si="1"/>
        <v>0</v>
      </c>
      <c r="I17" s="36">
        <f t="shared" si="1"/>
        <v>31</v>
      </c>
      <c r="J17" s="36">
        <f t="shared" si="1"/>
        <v>15</v>
      </c>
      <c r="K17" s="30">
        <f t="shared" si="1"/>
        <v>0</v>
      </c>
      <c r="L17" s="30">
        <f t="shared" si="1"/>
        <v>0</v>
      </c>
      <c r="M17" s="30">
        <f t="shared" si="1"/>
        <v>0</v>
      </c>
      <c r="N17" s="30">
        <f t="shared" si="1"/>
        <v>0</v>
      </c>
      <c r="O17" s="30">
        <f t="shared" si="1"/>
        <v>0</v>
      </c>
      <c r="P17" s="30">
        <f t="shared" si="1"/>
        <v>0</v>
      </c>
      <c r="Q17" s="30">
        <f t="shared" si="1"/>
        <v>0</v>
      </c>
      <c r="R17" s="30">
        <f t="shared" si="1"/>
        <v>0</v>
      </c>
      <c r="S17" s="30">
        <f t="shared" si="1"/>
        <v>0</v>
      </c>
      <c r="T17" s="30">
        <f t="shared" si="1"/>
        <v>0</v>
      </c>
    </row>
    <row r="18" spans="1:20">
      <c r="A18" s="23" t="s">
        <v>29</v>
      </c>
      <c r="B18" s="35" t="s">
        <v>23</v>
      </c>
      <c r="C18" s="25" t="s">
        <v>44</v>
      </c>
      <c r="D18" s="26">
        <v>46235</v>
      </c>
      <c r="E18" s="27">
        <f t="shared" si="0"/>
        <v>61</v>
      </c>
      <c r="F18" s="26">
        <v>46295</v>
      </c>
      <c r="G18" s="28" t="s">
        <v>45</v>
      </c>
      <c r="H18" s="30">
        <f t="shared" si="1"/>
        <v>0</v>
      </c>
      <c r="I18" s="30">
        <f t="shared" si="1"/>
        <v>0</v>
      </c>
      <c r="J18" s="36">
        <f t="shared" si="1"/>
        <v>31</v>
      </c>
      <c r="K18" s="36">
        <f t="shared" si="1"/>
        <v>30</v>
      </c>
      <c r="L18" s="30">
        <f t="shared" si="1"/>
        <v>0</v>
      </c>
      <c r="M18" s="30">
        <f t="shared" si="1"/>
        <v>0</v>
      </c>
      <c r="N18" s="30">
        <f t="shared" si="1"/>
        <v>0</v>
      </c>
      <c r="O18" s="30">
        <f t="shared" si="1"/>
        <v>0</v>
      </c>
      <c r="P18" s="30">
        <f t="shared" si="1"/>
        <v>0</v>
      </c>
      <c r="Q18" s="30">
        <f t="shared" si="1"/>
        <v>0</v>
      </c>
      <c r="R18" s="30">
        <f t="shared" si="1"/>
        <v>0</v>
      </c>
      <c r="S18" s="30">
        <f t="shared" si="1"/>
        <v>0</v>
      </c>
      <c r="T18" s="30">
        <f t="shared" si="1"/>
        <v>0</v>
      </c>
    </row>
    <row r="19" spans="1:20">
      <c r="A19" s="23" t="s">
        <v>29</v>
      </c>
      <c r="B19" s="35" t="s">
        <v>23</v>
      </c>
      <c r="C19" s="40" t="s">
        <v>46</v>
      </c>
      <c r="D19" s="41">
        <v>46280</v>
      </c>
      <c r="E19" s="42">
        <f t="shared" si="0"/>
        <v>47</v>
      </c>
      <c r="F19" s="41">
        <v>46326</v>
      </c>
      <c r="G19" s="43" t="s">
        <v>47</v>
      </c>
      <c r="H19" s="44">
        <f t="shared" si="1"/>
        <v>0</v>
      </c>
      <c r="I19" s="44">
        <f t="shared" si="1"/>
        <v>0</v>
      </c>
      <c r="J19" s="44">
        <f t="shared" si="1"/>
        <v>0</v>
      </c>
      <c r="K19" s="45">
        <f t="shared" si="1"/>
        <v>16</v>
      </c>
      <c r="L19" s="45">
        <f t="shared" si="1"/>
        <v>31</v>
      </c>
      <c r="M19" s="44">
        <f t="shared" si="1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</row>
    <row r="20" spans="1:20">
      <c r="A20" s="23" t="s">
        <v>29</v>
      </c>
      <c r="B20" s="46" t="s">
        <v>48</v>
      </c>
      <c r="C20" s="40" t="s">
        <v>49</v>
      </c>
      <c r="D20" s="41">
        <v>46296</v>
      </c>
      <c r="E20" s="42">
        <f t="shared" si="0"/>
        <v>61</v>
      </c>
      <c r="F20" s="41">
        <v>46356</v>
      </c>
      <c r="G20" s="43" t="s">
        <v>50</v>
      </c>
      <c r="H20" s="44">
        <f t="shared" si="1"/>
        <v>0</v>
      </c>
      <c r="I20" s="44">
        <f t="shared" si="1"/>
        <v>0</v>
      </c>
      <c r="J20" s="44">
        <f t="shared" si="1"/>
        <v>0</v>
      </c>
      <c r="K20" s="44">
        <f t="shared" si="1"/>
        <v>0</v>
      </c>
      <c r="L20" s="47">
        <f t="shared" si="1"/>
        <v>31</v>
      </c>
      <c r="M20" s="47">
        <f t="shared" si="1"/>
        <v>30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</row>
    <row r="21" spans="1:20">
      <c r="A21" s="23" t="s">
        <v>29</v>
      </c>
      <c r="B21" s="48" t="s">
        <v>51</v>
      </c>
      <c r="C21" s="49" t="s">
        <v>52</v>
      </c>
      <c r="D21" s="50">
        <v>46357</v>
      </c>
      <c r="E21" s="51">
        <f t="shared" si="0"/>
        <v>5</v>
      </c>
      <c r="F21" s="50">
        <v>46361</v>
      </c>
      <c r="G21" s="49" t="s">
        <v>53</v>
      </c>
      <c r="H21" s="30">
        <f t="shared" ref="H21:T29" si="2">MAX(0,MIN($F21,EOMONTH(H$4,0))-MAX($D21,H$4)+1)</f>
        <v>0</v>
      </c>
      <c r="I21" s="30">
        <f t="shared" si="2"/>
        <v>0</v>
      </c>
      <c r="J21" s="30">
        <f t="shared" si="2"/>
        <v>0</v>
      </c>
      <c r="K21" s="30">
        <f t="shared" si="2"/>
        <v>0</v>
      </c>
      <c r="L21" s="30">
        <f t="shared" si="2"/>
        <v>0</v>
      </c>
      <c r="M21" s="30">
        <f t="shared" si="2"/>
        <v>0</v>
      </c>
      <c r="N21" s="52">
        <f t="shared" si="2"/>
        <v>5</v>
      </c>
      <c r="O21" s="30">
        <f t="shared" si="2"/>
        <v>0</v>
      </c>
      <c r="P21" s="30">
        <f t="shared" si="2"/>
        <v>0</v>
      </c>
      <c r="Q21" s="30">
        <f t="shared" si="2"/>
        <v>0</v>
      </c>
      <c r="R21" s="30">
        <f t="shared" si="2"/>
        <v>0</v>
      </c>
      <c r="S21" s="30">
        <f t="shared" si="2"/>
        <v>0</v>
      </c>
      <c r="T21" s="30">
        <f t="shared" si="2"/>
        <v>0</v>
      </c>
    </row>
    <row r="22" spans="1:20">
      <c r="A22" s="23" t="s">
        <v>29</v>
      </c>
      <c r="B22" s="31" t="s">
        <v>17</v>
      </c>
      <c r="C22" s="25" t="s">
        <v>54</v>
      </c>
      <c r="D22" s="26">
        <v>46362</v>
      </c>
      <c r="E22" s="27">
        <f t="shared" si="0"/>
        <v>85</v>
      </c>
      <c r="F22" s="26">
        <v>46446</v>
      </c>
      <c r="G22" s="28" t="s">
        <v>55</v>
      </c>
      <c r="H22" s="30">
        <f t="shared" si="2"/>
        <v>0</v>
      </c>
      <c r="I22" s="30">
        <f t="shared" si="2"/>
        <v>0</v>
      </c>
      <c r="J22" s="30">
        <f t="shared" si="2"/>
        <v>0</v>
      </c>
      <c r="K22" s="30">
        <f t="shared" si="2"/>
        <v>0</v>
      </c>
      <c r="L22" s="30">
        <f t="shared" si="2"/>
        <v>0</v>
      </c>
      <c r="M22" s="30">
        <f t="shared" si="2"/>
        <v>0</v>
      </c>
      <c r="N22" s="32">
        <f t="shared" si="2"/>
        <v>26</v>
      </c>
      <c r="O22" s="32">
        <f t="shared" si="2"/>
        <v>31</v>
      </c>
      <c r="P22" s="32">
        <f t="shared" si="2"/>
        <v>28</v>
      </c>
      <c r="Q22" s="30">
        <f t="shared" si="2"/>
        <v>0</v>
      </c>
      <c r="R22" s="30">
        <f t="shared" si="2"/>
        <v>0</v>
      </c>
      <c r="S22" s="30">
        <f t="shared" si="2"/>
        <v>0</v>
      </c>
      <c r="T22" s="30">
        <f t="shared" si="2"/>
        <v>0</v>
      </c>
    </row>
    <row r="23" spans="1:20">
      <c r="A23" s="23" t="s">
        <v>29</v>
      </c>
      <c r="B23" s="33" t="s">
        <v>20</v>
      </c>
      <c r="C23" s="25" t="s">
        <v>56</v>
      </c>
      <c r="D23" s="26">
        <v>46362</v>
      </c>
      <c r="E23" s="27">
        <f t="shared" si="0"/>
        <v>85</v>
      </c>
      <c r="F23" s="26">
        <v>46446</v>
      </c>
      <c r="G23" s="28" t="s">
        <v>57</v>
      </c>
      <c r="H23" s="30">
        <f t="shared" si="2"/>
        <v>0</v>
      </c>
      <c r="I23" s="30">
        <f t="shared" si="2"/>
        <v>0</v>
      </c>
      <c r="J23" s="30">
        <f t="shared" si="2"/>
        <v>0</v>
      </c>
      <c r="K23" s="30">
        <f t="shared" si="2"/>
        <v>0</v>
      </c>
      <c r="L23" s="30">
        <f t="shared" si="2"/>
        <v>0</v>
      </c>
      <c r="M23" s="30">
        <f t="shared" si="2"/>
        <v>0</v>
      </c>
      <c r="N23" s="34">
        <f t="shared" si="2"/>
        <v>26</v>
      </c>
      <c r="O23" s="34">
        <f t="shared" si="2"/>
        <v>31</v>
      </c>
      <c r="P23" s="34">
        <f t="shared" si="2"/>
        <v>28</v>
      </c>
      <c r="Q23" s="30">
        <f t="shared" si="2"/>
        <v>0</v>
      </c>
      <c r="R23" s="30">
        <f t="shared" si="2"/>
        <v>0</v>
      </c>
      <c r="S23" s="30">
        <f t="shared" si="2"/>
        <v>0</v>
      </c>
      <c r="T23" s="30">
        <f t="shared" si="2"/>
        <v>0</v>
      </c>
    </row>
    <row r="24" spans="1:20">
      <c r="A24" s="23" t="s">
        <v>29</v>
      </c>
      <c r="B24" s="35" t="s">
        <v>23</v>
      </c>
      <c r="C24" s="25" t="s">
        <v>58</v>
      </c>
      <c r="D24" s="26">
        <v>46362</v>
      </c>
      <c r="E24" s="27">
        <f t="shared" si="0"/>
        <v>85</v>
      </c>
      <c r="F24" s="26">
        <v>46446</v>
      </c>
      <c r="G24" s="28" t="s">
        <v>59</v>
      </c>
      <c r="H24" s="30">
        <f t="shared" si="2"/>
        <v>0</v>
      </c>
      <c r="I24" s="30">
        <f t="shared" si="2"/>
        <v>0</v>
      </c>
      <c r="J24" s="30">
        <f t="shared" si="2"/>
        <v>0</v>
      </c>
      <c r="K24" s="30">
        <f t="shared" si="2"/>
        <v>0</v>
      </c>
      <c r="L24" s="30">
        <f t="shared" si="2"/>
        <v>0</v>
      </c>
      <c r="M24" s="30">
        <f t="shared" si="2"/>
        <v>0</v>
      </c>
      <c r="N24" s="36">
        <f t="shared" si="2"/>
        <v>26</v>
      </c>
      <c r="O24" s="36">
        <f t="shared" si="2"/>
        <v>31</v>
      </c>
      <c r="P24" s="36">
        <f t="shared" si="2"/>
        <v>28</v>
      </c>
      <c r="Q24" s="30">
        <f t="shared" si="2"/>
        <v>0</v>
      </c>
      <c r="R24" s="30">
        <f t="shared" si="2"/>
        <v>0</v>
      </c>
      <c r="S24" s="30">
        <f t="shared" si="2"/>
        <v>0</v>
      </c>
      <c r="T24" s="30">
        <f t="shared" si="2"/>
        <v>0</v>
      </c>
    </row>
    <row r="25" spans="1:20">
      <c r="A25" s="23" t="s">
        <v>29</v>
      </c>
      <c r="B25" s="46" t="s">
        <v>48</v>
      </c>
      <c r="C25" s="40" t="s">
        <v>60</v>
      </c>
      <c r="D25" s="41">
        <v>46388</v>
      </c>
      <c r="E25" s="42">
        <f t="shared" si="0"/>
        <v>79</v>
      </c>
      <c r="F25" s="41">
        <v>46466</v>
      </c>
      <c r="G25" s="43" t="s">
        <v>61</v>
      </c>
      <c r="H25" s="44">
        <f t="shared" si="2"/>
        <v>0</v>
      </c>
      <c r="I25" s="44">
        <f t="shared" si="2"/>
        <v>0</v>
      </c>
      <c r="J25" s="44">
        <f t="shared" si="2"/>
        <v>0</v>
      </c>
      <c r="K25" s="44">
        <f t="shared" si="2"/>
        <v>0</v>
      </c>
      <c r="L25" s="44">
        <f t="shared" si="2"/>
        <v>0</v>
      </c>
      <c r="M25" s="44">
        <f t="shared" si="2"/>
        <v>0</v>
      </c>
      <c r="N25" s="44">
        <f t="shared" si="2"/>
        <v>0</v>
      </c>
      <c r="O25" s="47">
        <f t="shared" si="2"/>
        <v>31</v>
      </c>
      <c r="P25" s="47">
        <f t="shared" si="2"/>
        <v>28</v>
      </c>
      <c r="Q25" s="47">
        <f t="shared" si="2"/>
        <v>20</v>
      </c>
      <c r="R25" s="44">
        <f t="shared" si="2"/>
        <v>0</v>
      </c>
      <c r="S25" s="44">
        <f t="shared" si="2"/>
        <v>0</v>
      </c>
      <c r="T25" s="44">
        <f t="shared" si="2"/>
        <v>0</v>
      </c>
    </row>
    <row r="26" spans="1:20">
      <c r="A26" s="23" t="s">
        <v>29</v>
      </c>
      <c r="B26" s="46" t="s">
        <v>48</v>
      </c>
      <c r="C26" s="40" t="s">
        <v>62</v>
      </c>
      <c r="D26" s="41">
        <v>46447</v>
      </c>
      <c r="E26" s="42">
        <f t="shared" si="0"/>
        <v>31</v>
      </c>
      <c r="F26" s="41">
        <v>46477</v>
      </c>
      <c r="G26" s="43" t="s">
        <v>63</v>
      </c>
      <c r="H26" s="44">
        <f t="shared" si="2"/>
        <v>0</v>
      </c>
      <c r="I26" s="44">
        <f t="shared" si="2"/>
        <v>0</v>
      </c>
      <c r="J26" s="44">
        <f t="shared" si="2"/>
        <v>0</v>
      </c>
      <c r="K26" s="44">
        <f t="shared" si="2"/>
        <v>0</v>
      </c>
      <c r="L26" s="44">
        <f t="shared" si="2"/>
        <v>0</v>
      </c>
      <c r="M26" s="44">
        <f t="shared" si="2"/>
        <v>0</v>
      </c>
      <c r="N26" s="44">
        <f t="shared" si="2"/>
        <v>0</v>
      </c>
      <c r="O26" s="44">
        <f t="shared" si="2"/>
        <v>0</v>
      </c>
      <c r="P26" s="44">
        <f t="shared" si="2"/>
        <v>0</v>
      </c>
      <c r="Q26" s="47">
        <f t="shared" si="2"/>
        <v>31</v>
      </c>
      <c r="R26" s="44">
        <f t="shared" si="2"/>
        <v>0</v>
      </c>
      <c r="S26" s="44">
        <f t="shared" si="2"/>
        <v>0</v>
      </c>
      <c r="T26" s="44">
        <f t="shared" si="2"/>
        <v>0</v>
      </c>
    </row>
    <row r="27" spans="1:20">
      <c r="A27" s="23" t="s">
        <v>64</v>
      </c>
      <c r="B27" s="46" t="s">
        <v>48</v>
      </c>
      <c r="C27" s="25" t="s">
        <v>65</v>
      </c>
      <c r="D27" s="26">
        <v>46478</v>
      </c>
      <c r="E27" s="27">
        <f t="shared" si="0"/>
        <v>30</v>
      </c>
      <c r="F27" s="26">
        <v>46507</v>
      </c>
      <c r="G27" s="28" t="s">
        <v>66</v>
      </c>
      <c r="H27" s="30">
        <f t="shared" si="2"/>
        <v>0</v>
      </c>
      <c r="I27" s="30">
        <f t="shared" si="2"/>
        <v>0</v>
      </c>
      <c r="J27" s="30">
        <f t="shared" si="2"/>
        <v>0</v>
      </c>
      <c r="K27" s="30">
        <f t="shared" si="2"/>
        <v>0</v>
      </c>
      <c r="L27" s="30">
        <f t="shared" si="2"/>
        <v>0</v>
      </c>
      <c r="M27" s="30">
        <f t="shared" si="2"/>
        <v>0</v>
      </c>
      <c r="N27" s="30">
        <f t="shared" si="2"/>
        <v>0</v>
      </c>
      <c r="O27" s="30">
        <f t="shared" si="2"/>
        <v>0</v>
      </c>
      <c r="P27" s="30">
        <f t="shared" si="2"/>
        <v>0</v>
      </c>
      <c r="Q27" s="30">
        <f t="shared" si="2"/>
        <v>0</v>
      </c>
      <c r="R27" s="53">
        <f t="shared" si="2"/>
        <v>30</v>
      </c>
      <c r="S27" s="30">
        <f t="shared" si="2"/>
        <v>0</v>
      </c>
      <c r="T27" s="30">
        <f t="shared" si="2"/>
        <v>0</v>
      </c>
    </row>
    <row r="28" spans="1:20">
      <c r="A28" s="23" t="s">
        <v>67</v>
      </c>
      <c r="B28" s="46" t="s">
        <v>48</v>
      </c>
      <c r="C28" s="25" t="s">
        <v>68</v>
      </c>
      <c r="D28" s="26">
        <v>46492</v>
      </c>
      <c r="E28" s="27">
        <f t="shared" si="0"/>
        <v>46</v>
      </c>
      <c r="F28" s="26">
        <v>46537</v>
      </c>
      <c r="G28" s="28" t="s">
        <v>69</v>
      </c>
      <c r="H28" s="30">
        <f t="shared" si="2"/>
        <v>0</v>
      </c>
      <c r="I28" s="30">
        <f t="shared" si="2"/>
        <v>0</v>
      </c>
      <c r="J28" s="30">
        <f t="shared" si="2"/>
        <v>0</v>
      </c>
      <c r="K28" s="30">
        <f t="shared" si="2"/>
        <v>0</v>
      </c>
      <c r="L28" s="30">
        <f t="shared" si="2"/>
        <v>0</v>
      </c>
      <c r="M28" s="30">
        <f t="shared" si="2"/>
        <v>0</v>
      </c>
      <c r="N28" s="30">
        <f t="shared" si="2"/>
        <v>0</v>
      </c>
      <c r="O28" s="30">
        <f t="shared" si="2"/>
        <v>0</v>
      </c>
      <c r="P28" s="30">
        <f t="shared" si="2"/>
        <v>0</v>
      </c>
      <c r="Q28" s="30">
        <f t="shared" si="2"/>
        <v>0</v>
      </c>
      <c r="R28" s="53">
        <f t="shared" si="2"/>
        <v>16</v>
      </c>
      <c r="S28" s="53">
        <f t="shared" si="2"/>
        <v>30</v>
      </c>
      <c r="T28" s="30">
        <f t="shared" si="2"/>
        <v>0</v>
      </c>
    </row>
    <row r="29" spans="1:20">
      <c r="A29" s="23" t="s">
        <v>67</v>
      </c>
      <c r="B29" s="46" t="s">
        <v>48</v>
      </c>
      <c r="C29" s="25" t="s">
        <v>70</v>
      </c>
      <c r="D29" s="26">
        <v>46538</v>
      </c>
      <c r="E29" s="27">
        <f t="shared" si="0"/>
        <v>31</v>
      </c>
      <c r="F29" s="26">
        <v>46568</v>
      </c>
      <c r="G29" s="28" t="s">
        <v>71</v>
      </c>
      <c r="H29" s="30">
        <f t="shared" si="2"/>
        <v>0</v>
      </c>
      <c r="I29" s="30">
        <f t="shared" si="2"/>
        <v>0</v>
      </c>
      <c r="J29" s="30">
        <f t="shared" si="2"/>
        <v>0</v>
      </c>
      <c r="K29" s="30">
        <f t="shared" si="2"/>
        <v>0</v>
      </c>
      <c r="L29" s="30">
        <f t="shared" si="2"/>
        <v>0</v>
      </c>
      <c r="M29" s="30">
        <f t="shared" si="2"/>
        <v>0</v>
      </c>
      <c r="N29" s="30">
        <f t="shared" si="2"/>
        <v>0</v>
      </c>
      <c r="O29" s="30">
        <f t="shared" si="2"/>
        <v>0</v>
      </c>
      <c r="P29" s="30">
        <f t="shared" si="2"/>
        <v>0</v>
      </c>
      <c r="Q29" s="30">
        <f t="shared" si="2"/>
        <v>0</v>
      </c>
      <c r="R29" s="30">
        <f t="shared" si="2"/>
        <v>0</v>
      </c>
      <c r="S29" s="53">
        <f t="shared" si="2"/>
        <v>1</v>
      </c>
      <c r="T29" s="53">
        <f t="shared" si="2"/>
        <v>30</v>
      </c>
    </row>
  </sheetData>
  <mergeCells count="7">
    <mergeCell ref="A1:T1"/>
    <mergeCell ref="A2:T2"/>
    <mergeCell ref="A3:G3"/>
    <mergeCell ref="H3:T3"/>
    <mergeCell ref="A5:A9"/>
    <mergeCell ref="A10:A26"/>
    <mergeCell ref="A27:A29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H12" sqref="H12"/>
    </sheetView>
  </sheetViews>
  <sheetFormatPr defaultColWidth="9" defaultRowHeight="14.25" outlineLevelCol="5"/>
  <cols>
    <col min="1" max="2" width="24" customWidth="1"/>
    <col min="3" max="3" width="32" customWidth="1"/>
    <col min="4" max="4" width="34" customWidth="1"/>
    <col min="5" max="5" width="28" customWidth="1"/>
    <col min="6" max="6" width="32" customWidth="1"/>
  </cols>
  <sheetData>
    <row r="1" ht="20.1" customHeight="1" spans="1:6">
      <c r="A1" s="1" t="s">
        <v>72</v>
      </c>
      <c r="B1" s="1"/>
      <c r="C1" s="1"/>
      <c r="D1" s="1"/>
      <c r="E1" s="1"/>
      <c r="F1" s="1"/>
    </row>
    <row r="3" ht="20.1" customHeight="1" spans="1:6">
      <c r="A3" s="2" t="s">
        <v>3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</row>
    <row r="4" ht="39.95" customHeight="1" spans="1:6">
      <c r="A4" s="3" t="s">
        <v>78</v>
      </c>
      <c r="B4" s="3" t="s">
        <v>79</v>
      </c>
      <c r="C4" s="3" t="s">
        <v>80</v>
      </c>
      <c r="D4" s="3" t="s">
        <v>81</v>
      </c>
      <c r="E4" s="3" t="s">
        <v>82</v>
      </c>
      <c r="F4" s="3" t="s">
        <v>83</v>
      </c>
    </row>
    <row r="5" ht="39.95" customHeight="1" spans="1:6">
      <c r="A5" s="3" t="s">
        <v>84</v>
      </c>
      <c r="B5" s="3" t="s">
        <v>85</v>
      </c>
      <c r="C5" s="3" t="s">
        <v>86</v>
      </c>
      <c r="D5" s="3" t="s">
        <v>87</v>
      </c>
      <c r="E5" s="3" t="s">
        <v>88</v>
      </c>
      <c r="F5" s="3" t="s">
        <v>89</v>
      </c>
    </row>
    <row r="6" ht="39.95" customHeight="1" spans="1:6">
      <c r="A6" s="3" t="s">
        <v>90</v>
      </c>
      <c r="B6" s="3" t="s">
        <v>91</v>
      </c>
      <c r="C6" s="3" t="s">
        <v>92</v>
      </c>
      <c r="D6" s="3" t="s">
        <v>93</v>
      </c>
      <c r="E6" s="3" t="s">
        <v>94</v>
      </c>
      <c r="F6" s="3" t="s">
        <v>95</v>
      </c>
    </row>
    <row r="8" ht="15.95" customHeight="1" spans="1:6">
      <c r="A8" s="4" t="s">
        <v>96</v>
      </c>
      <c r="B8" s="4"/>
      <c r="C8" s="4"/>
      <c r="D8" s="4"/>
      <c r="E8" s="4"/>
      <c r="F8" s="4"/>
    </row>
    <row r="9" ht="20.1" customHeight="1" spans="1:6">
      <c r="A9" s="5" t="s">
        <v>97</v>
      </c>
      <c r="B9" s="5" t="s">
        <v>98</v>
      </c>
      <c r="C9" s="5" t="s">
        <v>99</v>
      </c>
      <c r="D9" s="5" t="s">
        <v>100</v>
      </c>
      <c r="E9" s="5" t="s">
        <v>101</v>
      </c>
      <c r="F9" s="5" t="s">
        <v>102</v>
      </c>
    </row>
    <row r="10" ht="36" customHeight="1" spans="1:6">
      <c r="A10" s="3" t="s">
        <v>17</v>
      </c>
      <c r="B10" s="3" t="s">
        <v>103</v>
      </c>
      <c r="C10" s="3" t="s">
        <v>104</v>
      </c>
      <c r="D10" s="3" t="s">
        <v>105</v>
      </c>
      <c r="E10" s="3" t="s">
        <v>106</v>
      </c>
      <c r="F10" s="3" t="s">
        <v>107</v>
      </c>
    </row>
    <row r="11" ht="36" customHeight="1" spans="1:6">
      <c r="A11" s="3" t="s">
        <v>20</v>
      </c>
      <c r="B11" s="3" t="s">
        <v>108</v>
      </c>
      <c r="C11" s="3" t="s">
        <v>104</v>
      </c>
      <c r="D11" s="3" t="s">
        <v>105</v>
      </c>
      <c r="E11" s="3" t="s">
        <v>106</v>
      </c>
      <c r="F11" s="3" t="s">
        <v>109</v>
      </c>
    </row>
    <row r="12" ht="36" customHeight="1" spans="1:6">
      <c r="A12" s="3" t="s">
        <v>23</v>
      </c>
      <c r="B12" s="3" t="s">
        <v>110</v>
      </c>
      <c r="C12" s="3" t="s">
        <v>104</v>
      </c>
      <c r="D12" s="3" t="s">
        <v>105</v>
      </c>
      <c r="E12" s="3" t="s">
        <v>106</v>
      </c>
      <c r="F12" s="3" t="s">
        <v>111</v>
      </c>
    </row>
    <row r="13" ht="33.4" customHeight="1" spans="1:6">
      <c r="A13" s="3"/>
      <c r="B13" s="3"/>
      <c r="C13" s="3"/>
      <c r="D13" s="3"/>
      <c r="E13" s="3"/>
      <c r="F13" s="3"/>
    </row>
    <row r="14" ht="22.7" customHeight="1" spans="1:6">
      <c r="A14" s="6" t="s">
        <v>112</v>
      </c>
      <c r="B14" s="7"/>
      <c r="C14" s="7"/>
      <c r="D14" s="7"/>
      <c r="E14" s="7"/>
      <c r="F14" s="8"/>
    </row>
    <row r="15" ht="22.7" customHeight="1" spans="1:6">
      <c r="A15" s="9"/>
      <c r="B15" s="10"/>
      <c r="C15" s="10"/>
      <c r="D15" s="10"/>
      <c r="E15" s="10"/>
      <c r="F15" s="11"/>
    </row>
    <row r="16" ht="22.7" customHeight="1" spans="1:6">
      <c r="A16" s="12"/>
      <c r="B16" s="13"/>
      <c r="C16" s="13"/>
      <c r="D16" s="13"/>
      <c r="E16" s="13"/>
      <c r="F16" s="14"/>
    </row>
    <row r="17" ht="38.65" customHeight="1" spans="1:6">
      <c r="A17" s="3"/>
      <c r="B17" s="3"/>
      <c r="C17" s="3"/>
      <c r="D17" s="3"/>
      <c r="E17" s="3"/>
      <c r="F17" s="3"/>
    </row>
    <row r="18" ht="38.65" customHeight="1" spans="1:6">
      <c r="A18" s="3"/>
      <c r="B18" s="3"/>
      <c r="C18" s="3"/>
      <c r="D18" s="3"/>
      <c r="E18" s="3"/>
      <c r="F18" s="3"/>
    </row>
    <row r="19" ht="38.65" customHeight="1" spans="1:6">
      <c r="A19" s="3"/>
      <c r="B19" s="3"/>
      <c r="C19" s="3"/>
      <c r="D19" s="3"/>
      <c r="E19" s="3"/>
      <c r="F19" s="3"/>
    </row>
    <row r="21" ht="25.35" customHeight="1" spans="1:6">
      <c r="A21" s="6"/>
      <c r="B21" s="7"/>
      <c r="C21" s="7"/>
      <c r="D21" s="7"/>
      <c r="E21" s="7"/>
      <c r="F21" s="8"/>
    </row>
    <row r="22" ht="25.35" customHeight="1" spans="1:6">
      <c r="A22" s="15"/>
      <c r="B22" s="16"/>
      <c r="C22" s="16"/>
      <c r="D22" s="16"/>
      <c r="E22" s="16"/>
      <c r="F22" s="17"/>
    </row>
  </sheetData>
  <mergeCells count="3">
    <mergeCell ref="A1:F1"/>
    <mergeCell ref="A8:F8"/>
    <mergeCell ref="A14:F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P2甘特图</vt:lpstr>
      <vt:lpstr>P2计划说明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王佩司</dc:creator>
  <cp:lastModifiedBy>拾荒者●</cp:lastModifiedBy>
  <dcterms:created xsi:type="dcterms:W3CDTF">2026-06-15T11:26:00Z</dcterms:created>
  <dcterms:modified xsi:type="dcterms:W3CDTF">2026-06-23T02:37:18Z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A37614D43EA9407EBDA31EF56476E290_13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