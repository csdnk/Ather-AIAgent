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1d569f9fd495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all测试用例" sheetId="1" r:id="Re0d492cd7ee64a41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  <x:font>
      <x:b/>
      <x:sz val="11"/>
      <x:color rgb="FF24476A"/>
      <x:name val="Arial"/>
    </x:font>
    <x:font>
      <x:sz val="11"/>
      <x:color rgb="FF1767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A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medium">
        <x:color rgb="FFB4C5D6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F2020"/>
      </x:font>
      <x:fill>
        <x:patternFill patternType="solid">
          <x:bgColor rgb="FFFDE8E8"/>
        </x:patternFill>
      </x:fill>
    </x:dxf>
    <x:dxf>
      <x:font>
        <x:b/>
        <x:color rgb="FF805214"/>
      </x:font>
      <x:fill>
        <x:patternFill patternType="solid">
          <x:bgColor rgb="FFFFF3D8"/>
        </x:patternFill>
      </x:fill>
    </x:dxf>
    <x:dxf>
      <x:font>
        <x:color rgb="FF475569"/>
      </x:font>
      <x:fill>
        <x:patternFill patternType="solid">
          <x:bgColor rgb="FFEDF2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63952a84d46be" /><Relationship Type="http://schemas.openxmlformats.org/officeDocument/2006/relationships/theme" Target="/xl/theme/theme1.xml" Id="Rb370f05d861a4008" /><Relationship Type="http://schemas.openxmlformats.org/officeDocument/2006/relationships/sharedStrings" Target="/xl/sharedStrings.xml" Id="R1fbc048863ac4907" /><Relationship Type="http://schemas.openxmlformats.org/officeDocument/2006/relationships/worksheet" Target="/xl/worksheets/sheet1.xml" Id="Re0d492cd7ee64a41" /></Relationships>
</file>

<file path=xl/tables/table1.xml><?xml version="1.0" encoding="utf-8"?>
<x:table xmlns:x="http://schemas.openxmlformats.org/spreadsheetml/2006/main" id="1" name="RecallTestCases" displayName="RecallTestCases" ref="A1:H179" headerRowCount="1" totalsRowCount="0" totalsRowShown="0">
  <x:autoFilter ref="A1:H179"/>
  <x:tableColumns count="8">
    <x:tableColumn id="1" name="模块"/>
    <x:tableColumn id="2" name="用例编号"/>
    <x:tableColumn id="3" name="优先级"/>
    <x:tableColumn id="4" name="用例名称"/>
    <x:tableColumn id="5" name="前置条件与测试数据"/>
    <x:tableColumn id="6" name="执行步骤"/>
    <x:tableColumn id="7" name="预期结果"/>
    <x:tableColumn id="8" name="关联用例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8f6483a0624fdd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476A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19.559999465942383" hidden="0" customWidth="1"/>
    <col min="2" max="2" width="16.219999313354492" hidden="0" customWidth="1"/>
    <col min="3" max="3" width="8.4399995803833" hidden="0" customWidth="1"/>
    <col min="4" max="4" width="31.559999465942383" hidden="0" customWidth="1"/>
    <col min="5" max="5" width="48" hidden="0" customWidth="1"/>
    <col min="6" max="6" width="55.11000061035156" hidden="0" customWidth="1"/>
    <col min="7" max="7" width="55.11000061035156" hidden="0" customWidth="1"/>
    <col min="8" max="8" width="17.329999923706055" hidden="0" customWidth="1"/>
  </cols>
  <sheetData>
    <row r="1" ht="30" customHeight="1">
      <c r="A1" s="12" t="str">
        <v>模块</v>
      </c>
      <c r="B1" s="13" t="str">
        <v>用例编号</v>
      </c>
      <c r="C1" s="13" t="str">
        <v>优先级</v>
      </c>
      <c r="D1" s="13" t="str">
        <v>用例名称</v>
      </c>
      <c r="E1" s="13" t="str">
        <v>前置条件与测试数据</v>
      </c>
      <c r="F1" s="13" t="str">
        <v>执行步骤</v>
      </c>
      <c r="G1" s="13" t="str">
        <v>预期结果</v>
      </c>
      <c r="H1" s="14" t="str">
        <v>关联用例</v>
      </c>
    </row>
    <row r="2" ht="90" customHeight="1">
      <c r="A2" s="18" t="str">
        <v>请求契约</v>
      </c>
      <c r="B2" s="19" t="str">
        <v>RC-API-01</v>
      </c>
      <c r="C2" s="20" t="str">
        <v>P0</v>
      </c>
      <c r="D2" s="18" t="str">
        <v>Working 请求端到端验证</v>
      </c>
      <c r="E2" s="18" t="str">
        <v>正常调用方 T-A/App-A/User-A/Agent-A 有 READ；指定真实 session；Working 咖啡记忆“用户喝咖啡不加糖。”及茶记忆“用户喜欢乌龙茶。”均为 v1/g1 Ready；query=“用户的咖啡加糖习惯是什么？”，selection.session_id=该会话，sources=working，token_budget=1000 且足够。</v>
      </c>
      <c r="F2" s="18" t="str">
        <v>1. 提交 POST /p3/recall，使用新 X-Operation-ID
2. 查询原 /p3/operations/{job_id} 至终态
3. GET 原 Record/result，核对文本、Ref 和版本。</v>
      </c>
      <c r="G2" s="18" t="str">
        <v>目标 Ref 的完整权威正文入包，来源为 working，整包 tokens≤1000；结果关联原请求，Query 编码/搜索/guard 阶段可核验。</v>
      </c>
      <c r="H2" s="21" t="str"/>
    </row>
    <row r="3" ht="60" customHeight="1">
      <c r="A3" s="3" t="str">
        <v>请求契约</v>
      </c>
      <c r="B3" s="15" t="str">
        <v>RC-API-02</v>
      </c>
      <c r="C3" s="16" t="str">
        <v>P1</v>
      </c>
      <c r="D3" s="3" t="str">
        <v>Query 空值与类型分区</v>
      </c>
      <c r="E3" s="3" t="str">
        <v>Working 咖啡记忆“用户喝咖啡不加糖。”及茶记忆“用户喜欢乌龙茶。”，v1/g1 Ready；query 缺失/null/空字符串/纯空白/数字/数组。</v>
      </c>
      <c r="F3" s="3" t="str">
        <v>1. 各变体只改变 query
2. 检查响应、接纳与推理次数。</v>
      </c>
      <c r="G3" s="3" t="str">
        <v>按 Schema 校验 query 类型、必填及 trim；拒绝请求不提交 Pack，CPU 不无限运行；空白处理/HTTP 码未明确时标 blocked_requirement。</v>
      </c>
      <c r="H3" s="17" t="str"/>
    </row>
    <row r="4" ht="60" customHeight="1">
      <c r="A4" s="3" t="str">
        <v>请求契约</v>
      </c>
      <c r="B4" s="15" t="str">
        <v>RC-API-03</v>
      </c>
      <c r="C4" s="16" t="str">
        <v>P2</v>
      </c>
      <c r="D4" s="3" t="str">
        <v>Unicode 与多语言 Query 输入</v>
      </c>
      <c r="E4" s="3" t="str">
        <v>Working 咖啡记忆“用户喝咖啡不加糖。”及茶记忆“用户喜欢乌龙茶。”，v1/g1 Ready；中文、英文、混合、emoji、组合 Unicode、换行、引号查询。</v>
      </c>
      <c r="F4" s="3" t="str">
        <v>1. 各变体使用新 ID 提交请求
2. 比对原 query 摘要、模型实际输入和 Pack。</v>
      </c>
      <c r="G4" s="3" t="str">
        <v>输入不能损坏，也不能在未声明的情况下改变含义；长度按模型 token 计量，不按字节计量。记录语义检索结果，不要求不同语言或归一化形式得到相同排名。</v>
      </c>
      <c r="H4" s="17" t="str"/>
    </row>
    <row r="5" ht="60" customHeight="1">
      <c r="A5" s="3" t="str">
        <v>请求契约</v>
      </c>
      <c r="B5" s="15" t="str">
        <v>RC-API-04</v>
      </c>
      <c r="C5" s="16" t="str">
        <v>P1</v>
      </c>
      <c r="D5" s="3" t="str">
        <v>token_budget 合法域与极值</v>
      </c>
      <c r="E5" s="3" t="str">
        <v>Schema 规定预算最小 m/最大 M；准备短组 S、超预算组 H，用当前 tokenizer 实测整包渲染 T，包含引用/来源/关系/分隔符。</v>
      </c>
      <c r="F5" s="3" t="str">
        <v>1. 分别使用 m-1/m/m+1/M-1/M/M+1 及 0/-1/小数/字符串/bool/null/极大整数作为输入
2. 检查组包。</v>
      </c>
      <c r="G5" s="3" t="str">
        <v>合法边界满足整包预算；非法值不溢出、不绕过上限；m/M 未明确时标 blocked_requirement。</v>
      </c>
      <c r="H5" s="17" t="str"/>
    </row>
    <row r="6" ht="60" customHeight="1">
      <c r="A6" s="3" t="str">
        <v>请求契约</v>
      </c>
      <c r="B6" s="15" t="str">
        <v>RC-API-05</v>
      </c>
      <c r="C6" s="16" t="str">
        <v>P1</v>
      </c>
      <c r="D6" s="3" t="str">
        <v>sources 缺省和非法枚举</v>
      </c>
      <c r="E6" s="3" t="str">
        <v>Working 咖啡记忆“用户喝咖啡不加糖。”及茶记忆“用户喜欢乌龙茶。”，v1/g1 Ready；sources 省略/null/空/未知/大写/数组。</v>
      </c>
      <c r="F6" s="3" t="str">
        <v>1. 逐项发请求
2. 记录 selected_sources 与错误。</v>
      </c>
      <c r="G6" s="3" t="str">
        <v>仅接受契约值；未知值不转为 auto/both；缺省/null/大小写规则未明确时标 blocked_requirement。</v>
      </c>
      <c r="H6" s="17" t="str"/>
    </row>
    <row r="7" ht="60" customHeight="1">
      <c r="A7" s="3" t="str">
        <v>请求契约</v>
      </c>
      <c r="B7" s="15" t="str">
        <v>RC-API-06</v>
      </c>
      <c r="C7" s="16" t="str">
        <v>P1</v>
      </c>
      <c r="D7" s="3" t="str">
        <v>selection 结构与空选择</v>
      </c>
      <c r="E7" s="3" t="str">
        <v>selection 缺失/空对象/null；合法 session/task；错误字段类型。</v>
      </c>
      <c r="F7" s="3" t="str">
        <v>1. 逐项提交
2. 检查可信 scope、auto 选择和候选。</v>
      </c>
      <c r="G7" s="3" t="str">
        <v>按 Schema 处理默认值/类型；selection 与授权取交集，不扩大 scope、不覆盖可信身份；空选择规则未明确时标 blocked_requirement。</v>
      </c>
      <c r="H7" s="17" t="str"/>
    </row>
    <row r="8" ht="60" customHeight="1">
      <c r="A8" s="3" t="str">
        <v>请求契约</v>
      </c>
      <c r="B8" s="15" t="str">
        <v>RC-API-07</v>
      </c>
      <c r="C8" s="16" t="str">
        <v>P0</v>
      </c>
      <c r="D8" s="3" t="str">
        <v>查询和范围字符串注入</v>
      </c>
      <c r="E8" s="3" t="str">
        <v>合法目标分数低于外 tenant/user/session/source/space 对象，服务端 K=1；query 或 selection 合法字符串中含引号、过滤表达式、SQL 样式、换行。</v>
      </c>
      <c r="F8" s="3" t="str">
        <v>1. 在隔离数据中发送无害 canary
2. 查看过滤计划、返回 ID 及状态。</v>
      </c>
      <c r="G8" s="3" t="str">
        <v>数据按字面处理，不拼接成权限/过滤指令；无越权，无异常数据库动作；错误不泄露 DSN/内部受限 ID。</v>
      </c>
      <c r="H8" s="17" t="str"/>
    </row>
    <row r="9" ht="60" customHeight="1">
      <c r="A9" s="3" t="str">
        <v>请求契约</v>
      </c>
      <c r="B9" s="15" t="str">
        <v>RC-API-08</v>
      </c>
      <c r="C9" s="16" t="str">
        <v>P1</v>
      </c>
      <c r="D9" s="3" t="str">
        <v>客户端伪造内部策略字段</v>
      </c>
      <c r="E9" s="3" t="str">
        <v>未知 JSON 字段 tenant_id/K_memory/raw_filter/guard/策略版本。</v>
      </c>
      <c r="F9" s="3" t="str">
        <v>1. 分别添加单字段
2. 尝试改已有字段与未知字段组合。</v>
      </c>
      <c r="G9" s="3" t="str">
        <v>未知字段的拒绝或忽略规则以目标规范为准。无论如何处理，都不能覆盖认证、内部 guard 或服务端策略；客户端不能增加 TopK 或将期限设为无限。</v>
      </c>
      <c r="H9" s="17" t="str"/>
    </row>
    <row r="10" ht="55.5" customHeight="1">
      <c r="A10" s="3" t="str">
        <v>请求契约</v>
      </c>
      <c r="B10" s="15" t="str">
        <v>RC-API-09</v>
      </c>
      <c r="C10" s="16" t="str">
        <v>P1</v>
      </c>
      <c r="D10" s="3" t="str">
        <v>畸形请求与解析失败</v>
      </c>
      <c r="E10" s="3" t="str">
        <v>截断 JSON、错误 Content-Type、无请求体、嵌套过深；只用测试端点。</v>
      </c>
      <c r="F10" s="3" t="str">
        <v>1. 逐项发送
2. 检查接纳与结果/事件。</v>
      </c>
      <c r="G10" s="3" t="str">
        <v>解析失败无 Pack/packed、无未捕获崩溃或正文泄露；协议错误按当前契约；大小/深度阈值未明确时标 blocked_requirement。</v>
      </c>
      <c r="H10" s="17" t="str"/>
    </row>
    <row r="11" ht="55.5" customHeight="1">
      <c r="A11" s="3" t="str">
        <v>请求契约</v>
      </c>
      <c r="B11" s="15" t="str">
        <v>RC-API-10</v>
      </c>
      <c r="C11" s="16" t="str">
        <v>P1</v>
      </c>
      <c r="D11" s="3" t="str">
        <v>重复 JSON 键与实际输入绑定</v>
      </c>
      <c r="E11" s="3" t="str">
        <v>含重复键 query/sources/token_budget 的原始 JSON 文本。</v>
      </c>
      <c r="F11" s="3" t="str">
        <v>1. 交换重复键顺序
2. 比较解析请求与幂等签名。</v>
      </c>
      <c r="G11" s="3" t="str">
        <v>解析/拒绝符合契约；签名绑定实际执行语义，校验值与执行值一致；重复键规则未明确时标 blocked_requirement。</v>
      </c>
      <c r="H11" s="17" t="str"/>
    </row>
    <row r="12" ht="75" customHeight="1">
      <c r="A12" s="3" t="str">
        <v>请求契约</v>
      </c>
      <c r="B12" s="15" t="str">
        <v>RC-API-11</v>
      </c>
      <c r="C12" s="16" t="str">
        <v>P1</v>
      </c>
      <c r="D12" s="3" t="str">
        <v>正式路由和 HTTP 方法</v>
      </c>
      <c r="E12" s="3" t="str">
        <v>正常 READ 调用方；准备成功 Pack，保存原文本、Ref/version/hash；测试 POST /p3/recall、GET /p3/recalls/{recall_id} 和 GET /p3/recalls/{recall_id}/result。</v>
      </c>
      <c r="F12" s="3" t="str">
        <v>1. POST 获得原 recall_id
2. GET record 和 result
3. 分别使用不匹配的 HTTP 方法。</v>
      </c>
      <c r="G12" s="3" t="str">
        <v>三条路由按授权工作；GET 不重做 Recall，错误方法无副作用；HTTP 映射未明确时标 blocked_requirement。</v>
      </c>
      <c r="H12" s="17" t="str"/>
    </row>
    <row r="13" ht="55.5" customHeight="1">
      <c r="A13" s="3" t="str">
        <v>请求契约</v>
      </c>
      <c r="B13" s="15" t="str">
        <v>RC-API-12</v>
      </c>
      <c r="C13" s="16" t="str">
        <v>P1</v>
      </c>
      <c r="D13" s="3" t="str">
        <v>不存在或非法结果标识符</v>
      </c>
      <c r="E13" s="3" t="str">
        <v>不存在/格式错误/超长 recall_id、job_id；他人有效 ID 作对照。</v>
      </c>
      <c r="F13" s="3" t="str">
        <v>1. 分别 GET record、result 和原 job
2. 比较敏感输出。</v>
      </c>
      <c r="G13" s="3" t="str">
        <v>非法/不存在 ID 按契约处理；无他人正文或存在性泄露；无权与不存在的响应策略未明确时标 blocked_requirement。</v>
      </c>
      <c r="H13" s="17" t="str"/>
    </row>
    <row r="14" ht="60" customHeight="1">
      <c r="A14" s="18" t="str">
        <v>幂等与接纳</v>
      </c>
      <c r="B14" s="19" t="str">
        <v>RC-IDE-01</v>
      </c>
      <c r="C14" s="20" t="str">
        <v>P0</v>
      </c>
      <c r="D14" s="18" t="str">
        <v>同一 ID、相同请求体的串行重试</v>
      </c>
      <c r="E14" s="18" t="str">
        <v>Working 咖啡/茶记忆 v1/g1 Ready；同主体、同 X-Operation-ID、相同请求体。</v>
      </c>
      <c r="F14" s="18" t="str">
        <v>1. 成功 Recall
2. 串行重发原 POST 两次
3. 比较 job/recall/事件。</v>
      </c>
      <c r="G14" s="18" t="str">
        <v>重试返回或关联原操作，不产生重复 Pack 或 packed。重取时仍按当前授权检查，幂等不能让原内容永久可读。</v>
      </c>
      <c r="H14" s="21" t="str"/>
    </row>
    <row r="15" ht="55.5" customHeight="1">
      <c r="A15" s="3" t="str">
        <v>幂等与接纳</v>
      </c>
      <c r="B15" s="15" t="str">
        <v>RC-IDE-02</v>
      </c>
      <c r="C15" s="16" t="str">
        <v>P0</v>
      </c>
      <c r="D15" s="3" t="str">
        <v>同一 ID 绑定不同请求</v>
      </c>
      <c r="E15" s="3" t="str">
        <v>同 ID，query/selection/sources/预算任一不同。</v>
      </c>
      <c r="F15" s="3" t="str">
        <v>1. 原请求在接纳已持久化、候选开始前或已终态
2. 每个变体重用 ID 改一字段。</v>
      </c>
      <c r="G15" s="3" t="str">
        <v>签名不一致时，不能继续原执行或另行生成成功结果，也不能篡改原请求状态和正文。具体冲突码以目标 Schema 为准。</v>
      </c>
      <c r="H15" s="17" t="str"/>
    </row>
    <row r="16" ht="60" customHeight="1">
      <c r="A16" s="3" t="str">
        <v>幂等与接纳</v>
      </c>
      <c r="B16" s="15" t="str">
        <v>RC-IDE-03</v>
      </c>
      <c r="C16" s="16" t="str">
        <v>P0</v>
      </c>
      <c r="D16" s="3" t="str">
        <v>同一 ID、相同请求体的并发接纳</v>
      </c>
      <c r="E16" s="3" t="str">
        <v>原请求已接纳持久化，在候选开始前暂停；两个客户端持同 X-Operation-ID 和请求体。</v>
      </c>
      <c r="F16" s="3" t="str">
        <v>1. 两客户端同步 POST 同 ID/同体
2. 释放候选前屏障
3. 轮询双方原 job。</v>
      </c>
      <c r="G16" s="3" t="str">
        <v>只接纳一个业务意图，并关联唯一结果。请求执行中应查询原 job；并发请求不能生成两个成功 Pack 或两份 packed。</v>
      </c>
      <c r="H16" s="17" t="str"/>
    </row>
    <row r="17" ht="55.5" customHeight="1">
      <c r="A17" s="3" t="str">
        <v>幂等与接纳</v>
      </c>
      <c r="B17" s="15" t="str">
        <v>RC-IDE-04</v>
      </c>
      <c r="C17" s="16" t="str">
        <v>P0</v>
      </c>
      <c r="D17" s="3" t="str">
        <v>跨主体同字面操作 ID</v>
      </c>
      <c r="E17" s="3" t="str">
        <v>不同 tenant 或同 tenant/app 的不同 user/agent；各有独立 Ready 记忆；使用相同字面的 X-Operation-ID。</v>
      </c>
      <c r="F17" s="3" t="str">
        <v>1. 交错提交相同字面 ID
2. 各取结果。</v>
      </c>
      <c r="G17" s="3" t="str">
        <v>不返回其他主体/tenant 的结果、签名或元数据；跨主体幂等命名空间/冲突规则未明确时标 blocked_requirement。</v>
      </c>
      <c r="H17" s="17" t="str"/>
    </row>
    <row r="18" ht="55.5" customHeight="1">
      <c r="A18" s="3" t="str">
        <v>幂等与接纳</v>
      </c>
      <c r="B18" s="15" t="str">
        <v>RC-IDE-05</v>
      </c>
      <c r="C18" s="16" t="str">
        <v>P1</v>
      </c>
      <c r="D18" s="3" t="str">
        <v>缺失与畸形操作 ID 头</v>
      </c>
      <c r="E18" s="3" t="str">
        <v>X-Operation-ID 省略/空/错误格式/重复 header。</v>
      </c>
      <c r="F18" s="3" t="str">
        <v>1. 逐项发合法体
2. 检查 Record 和接纳。</v>
      </c>
      <c r="G18" s="3" t="str">
        <v>有效操作有稳定原 ID，拒绝请求无孤立成功记录；必填/生成/格式/重复头规则未明确时标 blocked_requirement。</v>
      </c>
      <c r="H18" s="17" t="str"/>
    </row>
    <row r="19" ht="60" customHeight="1">
      <c r="A19" s="3" t="str">
        <v>幂等与接纳</v>
      </c>
      <c r="B19" s="15" t="str">
        <v>RC-IDE-06</v>
      </c>
      <c r="C19" s="16" t="str">
        <v>P0</v>
      </c>
      <c r="D19" s="3" t="str">
        <v>结果提交后响应丢失</v>
      </c>
      <c r="E19" s="3" t="str">
        <v>Working 记忆 Ready；结果和 Outbox 已提交，在 HTTP 发送前丢弃响应。</v>
      </c>
      <c r="F19" s="3" t="str">
        <v>1. 丢响应
2. 只查询原 job/recall
3. 同 ID 同体重试。</v>
      </c>
      <c r="G19" s="3" t="str">
        <v>原 Pack/packed 保留，不重复执行或计热。未送出的响应不能记为客户端已读；GET 原结果时仍须复验资格。</v>
      </c>
      <c r="H19" s="17" t="str"/>
    </row>
    <row r="20" ht="60" customHeight="1">
      <c r="A20" s="3" t="str">
        <v>幂等与接纳</v>
      </c>
      <c r="B20" s="15" t="str">
        <v>RC-IDE-07</v>
      </c>
      <c r="C20" s="16" t="str">
        <v>P0</v>
      </c>
      <c r="D20" s="3" t="str">
        <v>撤权后幂等回放</v>
      </c>
      <c r="E20" s="3" t="str">
        <v>成功原 Pack 已保存；撤销原发起人的 READ 并等待权威回执。</v>
      </c>
      <c r="F20" s="3" t="str">
        <v>1. 撤权等待权威回执
2. 同 ID 原 POST
3. GET 原 result。</v>
      </c>
      <c r="G20" s="3" t="str">
        <v>幂等/结果重取路径均不得泄露旧正文；不能回放撤权前 HTTP 缓存绕过当前授权；内部原事实可保留。</v>
      </c>
      <c r="H20" s="17" t="str"/>
    </row>
    <row r="21" ht="60" customHeight="1">
      <c r="A21" s="3" t="str">
        <v>幂等与接纳</v>
      </c>
      <c r="B21" s="15" t="str">
        <v>RC-IDE-08</v>
      </c>
      <c r="C21" s="16" t="str">
        <v>P1</v>
      </c>
      <c r="D21" s="3" t="str">
        <v>JSON 表达差异与幂等签名</v>
      </c>
      <c r="E21" s="3" t="str">
        <v>同 ID 同语义 JSON 字段顺序/空白不同；中文不同 Unicode 序列对照。</v>
      </c>
      <c r="F21" s="3" t="str">
        <v>1. 提交原请求
2. 各变体重发
3. 比较实际签名。</v>
      </c>
      <c r="G21" s="3" t="str">
        <v>签名与实际执行内容一致，不同输入不意外复用结果；JSON/Unicode 规范化规则未明确时标 blocked_requirement。</v>
      </c>
      <c r="H21" s="17" t="str"/>
    </row>
    <row r="22" ht="60" customHeight="1">
      <c r="A22" s="18" t="str">
        <v>权限与范围</v>
      </c>
      <c r="B22" s="19" t="str">
        <v>RC-AUTH-01</v>
      </c>
      <c r="C22" s="20" t="str">
        <v>P0</v>
      </c>
      <c r="D22" s="18" t="str">
        <v>凭据缺失或认证失效</v>
      </c>
      <c r="E22" s="18" t="str">
        <v>Working 咖啡记忆“用户喝咖啡不加糖。”及茶记忆“用户喜欢乌龙茶。”，v1/g1 Ready；无 Bearer/错误凭据/已过期权限主体。</v>
      </c>
      <c r="F22" s="18" t="str">
        <v>1. POST
2. GET 已知原 Record/result
3. 检查推理/正文调用。</v>
      </c>
      <c r="G22" s="18" t="str">
        <v>认证或有效授权未通过时，不能交付候选或正文，也不能生成成功 Pack。具体 401/403 映射与过期机制以目标接口为准。</v>
      </c>
      <c r="H22" s="21" t="str"/>
    </row>
    <row r="23" ht="55.5" customHeight="1">
      <c r="A23" s="3" t="str">
        <v>权限与范围</v>
      </c>
      <c r="B23" s="15" t="str">
        <v>RC-AUTH-02</v>
      </c>
      <c r="C23" s="16" t="str">
        <v>P0</v>
      </c>
      <c r="D23" s="3" t="str">
        <v>只有写权限的身份发起召回</v>
      </c>
      <c r="E23" s="3" t="str">
        <v>调用方同 scope，仅 WRITE、无 READ；维护者准备 Working v1/g1 Ready 记忆。</v>
      </c>
      <c r="F23" s="3" t="str">
        <v>1. 仅 WRITE 身份 Recall
2. 检查 result；维护者核对权限检查记录。</v>
      </c>
      <c r="G23" s="3" t="str">
        <v>WRITE 不能隐含 READ；无越权正文或成功 Pack；权限检查证据在合法维护视图。</v>
      </c>
      <c r="H23" s="17" t="str"/>
    </row>
    <row r="24" ht="75" customHeight="1">
      <c r="A24" s="3" t="str">
        <v>权限与范围</v>
      </c>
      <c r="B24" s="15" t="str">
        <v>RC-AUTH-03</v>
      </c>
      <c r="C24" s="16" t="str">
        <v>P0</v>
      </c>
      <c r="D24" s="3" t="str">
        <v>跨租户同名 ID 隔离</v>
      </c>
      <c r="E24" s="3" t="str">
        <v>T-A/T-B 同字面 user/session/memory_id；合法目标分数低于外 tenant/user/session/source/space 对象，服务端 K=1。</v>
      </c>
      <c r="F24" s="3" t="str">
        <v>1. 正常调用方（T-A/App-A/User-A/Agent-A，有 READ，指定 session/task）与另一 tenant 的调用方（字面 user/session/memory_id 可相同）同 query
2. 各取 result。</v>
      </c>
      <c r="G24" s="3" t="str">
        <v>每个请求只返回自己 tenant 授权 Ref；去重/缓存/job 查找不跨 tenant 碰撞；外 tenant 高分不挤掉合法候选。</v>
      </c>
      <c r="H24" s="17" t="str"/>
    </row>
    <row r="25" ht="60" customHeight="1">
      <c r="A25" s="3" t="str">
        <v>权限与范围</v>
      </c>
      <c r="B25" s="15" t="str">
        <v>RC-AUTH-04</v>
      </c>
      <c r="C25" s="16" t="str">
        <v>P0</v>
      </c>
      <c r="D25" s="3" t="str">
        <v>同租户跨应用隔离</v>
      </c>
      <c r="E25" s="3" t="str">
        <v>同 tenant 不同 application；合法目标分数低于外 tenant/user/session/source/space 对象，服务端 K=1。</v>
      </c>
      <c r="F25" s="3" t="str">
        <v>1. 正常调用方（T-A/App-A/User-A/Agent-A，有 READ，指定 session/task）查 App-A
2. selection 尝试选择 App-B。</v>
      </c>
      <c r="G25" s="3" t="str">
        <v>selection 只能收窄；App-B 受限正文不能入候选/模型/Pack；合法显式共享见 RC-AUTH-09。</v>
      </c>
      <c r="H25" s="17" t="str">
        <f>HYPERLINK("#'Recall测试用例'!B"&amp;(MATCH("RC-AUTH-09",$B$2:$B$179,0)+1),"RC-AUTH-09")</f>
        <v>RC-AUTH-09</v>
      </c>
    </row>
    <row r="26" ht="60" customHeight="1">
      <c r="A26" s="3" t="str">
        <v>权限与范围</v>
      </c>
      <c r="B26" s="15" t="str">
        <v>RC-AUTH-05</v>
      </c>
      <c r="C26" s="16" t="str">
        <v>P0</v>
      </c>
      <c r="D26" s="3" t="str">
        <v>用户与 Agent 隔离</v>
      </c>
      <c r="E26" s="3" t="str">
        <v>同 tenant/app 的不同 user/agent；各有高分同主题记忆。</v>
      </c>
      <c r="F26" s="3" t="str">
        <v>1. 两主体使用同 query
2. 改变 agent 选择
3. 比较候选/模型输入/结果 scope。</v>
      </c>
      <c r="G26" s="3" t="str">
        <v>按当前授权保持 user/agent 边界，不能只过滤 tenant 就混入其他主体。有效 grant 必须有真实资格证据。</v>
      </c>
      <c r="H26" s="17" t="str"/>
    </row>
    <row r="27" ht="55.5" customHeight="1">
      <c r="A27" s="3" t="str">
        <v>权限与范围</v>
      </c>
      <c r="B27" s="15" t="str">
        <v>RC-AUTH-06</v>
      </c>
      <c r="C27" s="16" t="str">
        <v>P0</v>
      </c>
      <c r="D27" s="3" t="str">
        <v>会话和任务范围交集</v>
      </c>
      <c r="E27" s="3" t="str">
        <v>同一 READ 调用方的两个 session、两个 task；内容相近，选择范围外对象分数更高。</v>
      </c>
      <c r="F27" s="3" t="str">
        <v>1. 限定 S1 或 J1 Recall
2. 去掉/改变 selection 分别测试。</v>
      </c>
      <c r="G27" s="3" t="str">
        <v>结果仅含 selection 与授权交集，不利 Top1 仍发现合法候选；空选择范围未明确时标 blocked_requirement。</v>
      </c>
      <c r="H27" s="17" t="str"/>
    </row>
    <row r="28" ht="60" customHeight="1">
      <c r="A28" s="3" t="str">
        <v>权限与范围</v>
      </c>
      <c r="B28" s="15" t="str">
        <v>RC-AUTH-07</v>
      </c>
      <c r="C28" s="16" t="str">
        <v>P0</v>
      </c>
      <c r="D28" s="3" t="str">
        <v>客户端身份覆盖尝试</v>
      </c>
      <c r="E28" s="3" t="str">
        <v>任意身份字段/原始 scope 从客户端注入；合法目标分数低于外 tenant/user/session/source/space 对象，服务端 K=1。</v>
      </c>
      <c r="F28" s="3" t="str">
        <v>1. 在原请求体中加入其他主体的 tenant/user/agent 字段
2. 检查认证上下文/过滤。</v>
      </c>
      <c r="G28" s="3" t="str">
        <v>不覆盖 Bearer 主体/home_scope，不接受伪造 grant/auth_epoch；未知字段处理未明确时标 blocked_requirement。</v>
      </c>
      <c r="H28" s="17" t="str"/>
    </row>
    <row r="29" ht="60" customHeight="1">
      <c r="A29" s="3" t="str">
        <v>权限与范围</v>
      </c>
      <c r="B29" s="15" t="str">
        <v>RC-AUTH-08</v>
      </c>
      <c r="C29" s="16" t="str">
        <v>P0</v>
      </c>
      <c r="D29" s="3" t="str">
        <v>索引命中不得授予正文读取权</v>
      </c>
      <c r="E29" s="3" t="str">
        <v>仅非法索引命中或 payload 伪造授权；Remember 资格核验否决。</v>
      </c>
      <c r="F29" s="3" t="str">
        <v>1. 使候选命中
2. 以 READ+DIAGNOSE 身份检查 Trace/job、资格、正文、事务和事件看 qualify/read/rerank。</v>
      </c>
      <c r="G29" s="3" t="str">
        <v>vector payload 不能授予正文读取权。越权正文不能发送给 reranker，被排除对象的 ID 和原始向量也不能暴露给调用方。</v>
      </c>
      <c r="H29" s="17" t="str"/>
    </row>
    <row r="30" ht="60" customHeight="1">
      <c r="A30" s="3" t="str">
        <v>权限与范围</v>
      </c>
      <c r="B30" s="15" t="str">
        <v>RC-AUTH-09</v>
      </c>
      <c r="C30" s="16" t="str">
        <v>P0</v>
      </c>
      <c r="D30" s="3" t="str">
        <v>有效共享的可发现性</v>
      </c>
      <c r="E30" s="3" t="str">
        <v>Working v1/g1 Ready 记忆显式共享给独立主体，仅授予指定记忆 READ；另有未共享同主题记忆。</v>
      </c>
      <c r="F30" s="3" t="str">
        <v>1. 确认有效 grant
2. 共享主体 Recall 并取 result
3. 相同 query 使用无 grant 身份对照。</v>
      </c>
      <c r="G30" s="3" t="str">
        <v>可发现/交付被共享的精确当前版本，仅限有效 grant 范围；不扩大到其他记忆/tenant，不把共享当所有权。</v>
      </c>
      <c r="H30" s="17" t="str"/>
    </row>
    <row r="31" ht="60" customHeight="1">
      <c r="A31" s="3" t="str">
        <v>权限与范围</v>
      </c>
      <c r="B31" s="15" t="str">
        <v>RC-AUTH-10</v>
      </c>
      <c r="C31" s="16" t="str">
        <v>P0</v>
      </c>
      <c r="D31" s="3" t="str">
        <v>共享撤销后的新旧读取</v>
      </c>
      <c r="E31" s="3" t="str">
        <v>RC-AUTH-09成功后撤销 grant；旧向量/Redis 仍在。</v>
      </c>
      <c r="F31" s="3" t="str">
        <v>1. 撤销共享并等待权威回执
2. 新 Recall
3. 重取原 result。</v>
      </c>
      <c r="G31" s="3" t="str">
        <v>新请求/已保存结果均阻断撤权材料；副本残留不授权；撤权前真实 read 事实不被改成未发生。</v>
      </c>
      <c r="H31" s="17" t="str">
        <f>HYPERLINK("#'Recall测试用例'!B"&amp;(MATCH("RC-AUTH-09",$B$2:$B$179,0)+1),"RC-AUTH-09")</f>
        <v>RC-AUTH-09</v>
      </c>
    </row>
    <row r="32" ht="60" customHeight="1">
      <c r="A32" s="3" t="str">
        <v>权限与范围</v>
      </c>
      <c r="B32" s="15" t="str">
        <v>RC-AUTH-11</v>
      </c>
      <c r="C32" s="16" t="str">
        <v>P0</v>
      </c>
      <c r="D32" s="3" t="str">
        <v>租户停用后重新启用的 epoch 校验</v>
      </c>
      <c r="E32" s="3" t="str">
        <v>已保存成功原 Pack，留存原文本、Ref/version/hash、来源、关系 revision 和 epoch；tenant 启用→停用→重启用，身份 epoch 递增。</v>
      </c>
      <c r="F32" s="3" t="str">
        <v>1. 停用后 POST/GET
2. 重启用仍持旧凭据
3. 换新 epoch。</v>
      </c>
      <c r="G32" s="3" t="str">
        <v>租户停用后不能读取；重新启用也不能让旧 epoch 恢复有效。新 epoch 按当前资格执行，不能因为 tenant 名称相同而沿用旧授权快照。</v>
      </c>
      <c r="H32" s="17" t="str"/>
    </row>
    <row r="33" ht="55.5" customHeight="1">
      <c r="A33" s="3" t="str">
        <v>权限与范围</v>
      </c>
      <c r="B33" s="15" t="str">
        <v>RC-AUTH-12</v>
      </c>
      <c r="C33" s="16" t="str">
        <v>P0</v>
      </c>
      <c r="D33" s="3" t="str">
        <v>请求中身份重载和撤权</v>
      </c>
      <c r="E33" s="3" t="str">
        <v>Working 记忆 Ready；Recall 在组包完成、final_guard 前暂停；身份文件 revision/auth_epoch 可合法递增。</v>
      </c>
      <c r="F33" s="3" t="str">
        <v>1. 撤销发起者 READ，递增 revision/auth_epoch 并确认重载
2. 放行提交。</v>
      </c>
      <c r="G33" s="3" t="str">
        <v>final_guard/Recall 接口层 身份复验阻断旧 Pack，不能仅开头认证一次；已 read 可保留但不成功 packed。</v>
      </c>
      <c r="H33" s="17" t="str"/>
    </row>
    <row r="34" ht="60" customHeight="1">
      <c r="A34" s="3" t="str">
        <v>权限与范围</v>
      </c>
      <c r="B34" s="15" t="str">
        <v>RC-AUTH-13</v>
      </c>
      <c r="C34" s="16" t="str">
        <v>P0</v>
      </c>
      <c r="D34" s="3" t="str">
        <v>重排前撤权阻断模型输入</v>
      </c>
      <c r="E34" s="3" t="str">
        <v>Working 记忆 Ready，reranker 开启；在完整正文读取后、rerank 前暂停。</v>
      </c>
      <c r="F34" s="3" t="str">
        <v>1. 撤对象 grant
2. 放行重排
3. 检查模型实际输入摘要。</v>
      </c>
      <c r="G34" s="3" t="str">
        <v>已撤权正文不进入重排模型，也不进入后续 Pack。</v>
      </c>
      <c r="H34" s="17" t="str"/>
    </row>
    <row r="35" ht="60" customHeight="1">
      <c r="A35" s="3" t="str">
        <v>权限与范围</v>
      </c>
      <c r="B35" s="15" t="str">
        <v>RC-AUTH-14</v>
      </c>
      <c r="C35" s="16" t="str">
        <v>P0</v>
      </c>
      <c r="D35" s="3" t="str">
        <v>诊断权限与结果所有权</v>
      </c>
      <c r="E35" s="3" t="str">
        <v>保存成功原 Pack 及 trace/recall/job；分别准备发起者、READ+DIAGNOSE、仅 DIAGNOSE、同 tenant/app 的另一 user/agent。</v>
      </c>
      <c r="F35" s="3" t="str">
        <v>1. 各身份 GET 诊断/Record/result
2. 比较字段。</v>
      </c>
      <c r="G35" s="3" t="str">
        <v>DIAGNOSE 不授予正文 READ 或他人 Trace 权限；非发起者不穿透 scope；Record 可见性/HTTP 映射未明确时标 blocked_requirement。</v>
      </c>
      <c r="H35" s="17" t="str"/>
    </row>
    <row r="36" ht="55.5" customHeight="1">
      <c r="A36" s="3" t="str">
        <v>权限与范围</v>
      </c>
      <c r="B36" s="15" t="str">
        <v>RC-AUTH-15</v>
      </c>
      <c r="C36" s="16" t="str">
        <v>P0</v>
      </c>
      <c r="D36" s="3" t="str">
        <v>仅权限阻断与正常空区分</v>
      </c>
      <c r="E36" s="3" t="str">
        <v>一组匹配对象均无 grant；另一组授权范围内无记忆，来源正常且无 pending/failed。</v>
      </c>
      <c r="F36" s="3" t="str">
        <v>1. 两请求对照
2. 观察公开原因与受控阶段。</v>
      </c>
      <c r="G36" s="3" t="str">
        <v>无越权正文，不泄露受限 ID/计数/存在性；权限阻断与正常空的公开响应规则未明确时标 blocked_requirement。</v>
      </c>
      <c r="H36" s="17" t="str"/>
    </row>
    <row r="37" ht="60" customHeight="1">
      <c r="A37" s="18" t="str">
        <v>来源选择与覆盖</v>
      </c>
      <c r="B37" s="19" t="str">
        <v>RC-SRC-01</v>
      </c>
      <c r="C37" s="20" t="str">
        <v>P0</v>
      </c>
      <c r="D37" s="18" t="str">
        <v>Working 必须真实向量检索</v>
      </c>
      <c r="E37" s="18" t="str">
        <v>Working 咖啡记忆“用户喝咖啡不加糖。”及茶记忆“用户喜欢乌龙茶。”，v1/g1 Ready+长期记忆“用户每周二上午参加项目评审；遇节假日顺延。”，Ready；sources=working。</v>
      </c>
      <c r="F37" s="18" t="str">
        <v>1. POST /p3/recall
2. 以 READ+DIAGNOSE 身份检查 Query 编码/搜索来源
3. 核对正文。</v>
      </c>
      <c r="G37" s="18" t="str">
        <v>只检索 Working，且实际执行原生 Query 编码与向量搜索。不能按时间直接列出 Working，或查询长期来源补足数量；结果中没有长期来源的贡献或条目。</v>
      </c>
      <c r="H37" s="21" t="str"/>
    </row>
    <row r="38" ht="60" customHeight="1">
      <c r="A38" s="3" t="str">
        <v>来源选择与覆盖</v>
      </c>
      <c r="B38" s="15" t="str">
        <v>RC-SRC-02</v>
      </c>
      <c r="C38" s="16" t="str">
        <v>P0</v>
      </c>
      <c r="D38" s="3" t="str">
        <v>长期来源独立检索</v>
      </c>
      <c r="E38" s="3" t="str">
        <v>Working 咖啡记忆“用户喝咖啡不加糖。”及茶记忆“用户喜欢乌龙茶。”，v1/g1 Ready+长期记忆“用户每周二上午参加项目评审；遇节假日顺延。”，Ready；sources=long_term。</v>
      </c>
      <c r="F38" s="3" t="str">
        <v>1. 提交
2. 查看 source filter 和 Ref 类型。</v>
      </c>
      <c r="G38" s="3" t="str">
        <v>只用已就绪长期来源；不把 Working 当前正文冒充长期，scope/space/source 先于截断。</v>
      </c>
      <c r="H38" s="17" t="str"/>
    </row>
    <row r="39" ht="60" customHeight="1">
      <c r="A39" s="3" t="str">
        <v>来源选择与覆盖</v>
      </c>
      <c r="B39" s="15" t="str">
        <v>RC-SRC-03</v>
      </c>
      <c r="C39" s="16" t="str">
        <v>P0</v>
      </c>
      <c r="D39" s="3" t="str">
        <v>both 来源完整执行与融合</v>
      </c>
      <c r="E39" s="3" t="str">
        <v>Working 和长期记忆均 Ready；同 scope 的固定候选 W=[A v2,B v1]、L=[C v1,A v2]；关闭重排，sources=both。</v>
      </c>
      <c r="F39" s="3" t="str">
        <v>1. 提交
2. 查看两路计划/覆盖/融合。</v>
      </c>
      <c r="G39" s="3" t="str">
        <v>两路都实际执行，并保留各自的来源贡献。只执行一路不能标为完整 both；相同精确 Ref 只入包一次。</v>
      </c>
      <c r="H39" s="17" t="str"/>
    </row>
    <row r="40" ht="55.5" customHeight="1">
      <c r="A40" s="3" t="str">
        <v>来源选择与覆盖</v>
      </c>
      <c r="B40" s="15" t="str">
        <v>RC-SRC-04</v>
      </c>
      <c r="C40" s="16" t="str">
        <v>P1</v>
      </c>
      <c r="D40" s="3" t="str">
        <v>auto 有会话或任务</v>
      </c>
      <c r="E40" s="3" t="str">
        <v>auto；分别有 session、有 task、两者都有。</v>
      </c>
      <c r="F40" s="3" t="str">
        <v>1. 三个独立请求
2. 记录选择原因/selected_sources。</v>
      </c>
      <c r="G40" s="3" t="str">
        <v>三个变体都选 both；原因可追溯；不能由故障/命中数量回写成 working 或 long_term。</v>
      </c>
      <c r="H40" s="17" t="str"/>
    </row>
    <row r="41" ht="55.5" customHeight="1">
      <c r="A41" s="3" t="str">
        <v>来源选择与覆盖</v>
      </c>
      <c r="B41" s="15" t="str">
        <v>RC-SRC-05</v>
      </c>
      <c r="C41" s="16" t="str">
        <v>P1</v>
      </c>
      <c r="D41" s="3" t="str">
        <v>auto 无上下文</v>
      </c>
      <c r="E41" s="3" t="str">
        <v>auto；无 session/task；scope 合法。</v>
      </c>
      <c r="F41" s="3" t="str">
        <v>1. 提交
2. 检查计划和原因。</v>
      </c>
      <c r="G41" s="3" t="str">
        <v>选择 long_term；不能因为最近存在 Working 记忆而自动检索 Working。selected_sources 和策略版本与实际执行一致。</v>
      </c>
      <c r="H41" s="17" t="str"/>
    </row>
    <row r="42" ht="60" customHeight="1">
      <c r="A42" s="3" t="str">
        <v>来源选择与覆盖</v>
      </c>
      <c r="B42" s="15" t="str">
        <v>RC-SRC-06</v>
      </c>
      <c r="C42" s="16" t="str">
        <v>P0</v>
      </c>
      <c r="D42" s="3" t="str">
        <v>指定 Working 不改查长期</v>
      </c>
      <c r="E42" s="3" t="str">
        <v>只有长期 Ready，Working 正常空；显式 working。</v>
      </c>
      <c r="F42" s="3" t="str">
        <v>1. 请求 working
2. 查看长期调用计数
3. 显式 long_term 作对照。</v>
      </c>
      <c r="G42" s="3" t="str">
        <v>working 可正常空，但不得自动改查长期；对照证明长期夹具真实可查。</v>
      </c>
      <c r="H42" s="17" t="str"/>
    </row>
    <row r="43" ht="60" customHeight="1">
      <c r="A43" s="3" t="str">
        <v>来源选择与覆盖</v>
      </c>
      <c r="B43" s="15" t="str">
        <v>RC-SRC-07</v>
      </c>
      <c r="C43" s="16" t="str">
        <v>P0</v>
      </c>
      <c r="D43" s="3" t="str">
        <v>索引 pending 不伪装空</v>
      </c>
      <c r="E43" s="3" t="str">
        <v>Working 仅 pending，无可交正文；暂停投影发布。</v>
      </c>
      <c r="F43" s="3" t="str">
        <v>1. 暂停投影发布
2. 发 working
3. 查询来源与原 job。</v>
      </c>
      <c r="G43" s="3" t="str">
        <v>pending 不返回正常 Empty，不以正文列表兜底；保留索引未就绪状态和原 ID；等待/终态策略未明确时标 blocked_requirement。</v>
      </c>
      <c r="H43" s="17" t="str"/>
    </row>
    <row r="44" ht="55.5" customHeight="1">
      <c r="A44" s="3" t="str">
        <v>来源选择与覆盖</v>
      </c>
      <c r="B44" s="15" t="str">
        <v>RC-SRC-08</v>
      </c>
      <c r="C44" s="16" t="str">
        <v>P0</v>
      </c>
      <c r="D44" s="3" t="str">
        <v>索引 failed 不伪装空</v>
      </c>
      <c r="E44" s="3" t="str">
        <v>所选来源仅 failed，无可交正文；权威存储仍可读。</v>
      </c>
      <c r="F44" s="3" t="str">
        <v>1. 制造本例投影失败
2. 请求所选来源。</v>
      </c>
      <c r="G44" s="3" t="str">
        <v>保留 failed 覆盖状态和实际原因，不能返回正常空或改为词法检索成功。索引失败与依赖不可达应能分别定位。</v>
      </c>
      <c r="H44" s="17" t="str"/>
    </row>
    <row r="45" ht="55.5" customHeight="1">
      <c r="A45" s="3" t="str">
        <v>来源选择与覆盖</v>
      </c>
      <c r="B45" s="15" t="str">
        <v>RC-SRC-09</v>
      </c>
      <c r="C45" s="16" t="str">
        <v>P1</v>
      </c>
      <c r="D45" s="3" t="str">
        <v>可用与 pending 混合覆盖</v>
      </c>
      <c r="E45" s="3" t="str">
        <v>Ready+pending；部分结果允许/禁止两套已确认策略。</v>
      </c>
      <c r="F45" s="3" t="str">
        <v>1. 各策略新请求
2. 检查可用 Pack 和覆盖。</v>
      </c>
      <c r="G45" s="3" t="str">
        <v>pending 可观测；按已确认策略等待或部分交付，不能标为完整覆盖；策略未明确时标 blocked_requirement。</v>
      </c>
      <c r="H45" s="17" t="str"/>
    </row>
    <row r="46" ht="60" customHeight="1">
      <c r="A46" s="3" t="str">
        <v>来源选择与覆盖</v>
      </c>
      <c r="B46" s="15" t="str">
        <v>RC-SRC-10</v>
      </c>
      <c r="C46" s="16" t="str">
        <v>P0</v>
      </c>
      <c r="D46" s="3" t="str">
        <v>可降级单路故障</v>
      </c>
      <c r="E46" s="3" t="str">
        <v>both；Working 可用；长期超时/反向变体；策略允许部分。</v>
      </c>
      <c r="F46" s="3" t="str">
        <v>1. 隔离故障一路
2. 提交
3. 核对 selected_sources 与 degraded 原因。</v>
      </c>
      <c r="G46" s="3" t="str">
        <v>只交完整有效的正常一路，并明确缺失来源；不称完整 both；不能返回受限/过期候选凑数。</v>
      </c>
      <c r="H46" s="17" t="str"/>
    </row>
    <row r="47" ht="55.5" customHeight="1">
      <c r="A47" s="3" t="str">
        <v>来源选择与覆盖</v>
      </c>
      <c r="B47" s="15" t="str">
        <v>RC-SRC-11</v>
      </c>
      <c r="C47" s="16" t="str">
        <v>P0</v>
      </c>
      <c r="D47" s="3" t="str">
        <v>必需来源故障拒绝部分结果</v>
      </c>
      <c r="E47" s="3" t="str">
        <v>与RC-SRC-10相同，但策略不允许部分。</v>
      </c>
      <c r="F47" s="3" t="str">
        <v>1. 单路故障
2. 有有效另一路也提交。</v>
      </c>
      <c r="G47" s="3" t="str">
        <v>请求失败/不可用按实际契约；不能补满数量掩盖必需来源故障；无成功 packed。</v>
      </c>
      <c r="H47" s="17" t="str">
        <f>HYPERLINK("#'Recall测试用例'!B"&amp;(MATCH("RC-SRC-10",$B$2:$B$179,0)+1),"RC-SRC-10")</f>
        <v>RC-SRC-10</v>
      </c>
    </row>
    <row r="48" ht="55.5" customHeight="1">
      <c r="A48" s="3" t="str">
        <v>来源选择与覆盖</v>
      </c>
      <c r="B48" s="15" t="str">
        <v>RC-SRC-12</v>
      </c>
      <c r="C48" s="16" t="str">
        <v>P0</v>
      </c>
      <c r="D48" s="3" t="str">
        <v>全部向量来源不可用</v>
      </c>
      <c r="E48" s="3" t="str">
        <v>所选全部来源 Milvus 不可用；Remember 正文接口仍可用。</v>
      </c>
      <c r="F48" s="3" t="str">
        <v>1. 请求 working/long_term/both 分别
2. 检查候选发现路径。</v>
      </c>
      <c r="G48" s="3" t="str">
        <v>各请求按向量依赖失败，不改词法/已知 ID 读取/直接列举；正文可读不能证明语义 Recall 成功。</v>
      </c>
      <c r="H48" s="17" t="str"/>
    </row>
    <row r="49" ht="60" customHeight="1">
      <c r="A49" s="3" t="str">
        <v>来源选择与覆盖</v>
      </c>
      <c r="B49" s="15" t="str">
        <v>RC-SRC-13</v>
      </c>
      <c r="C49" s="16" t="str">
        <v>P1</v>
      </c>
      <c r="D49" s="3" t="str">
        <v>正常空与空加故障对照</v>
      </c>
      <c r="E49" s="3" t="str">
        <v>授权范围内无记忆，所选来源正常且无 pending/failed；both 两路均正常结束无有效匹配；另一变体正常空+一路超时。</v>
      </c>
      <c r="F49" s="3" t="str">
        <v>1. 两变体新请求
2. 对照覆盖/原因/Pack。</v>
      </c>
      <c r="G49" s="3" t="str">
        <v>所选来源全部正常结束且无有效匹配才为正常空；正常空加故障保留故障状态，不合并为 Empty。</v>
      </c>
      <c r="H49" s="17" t="str"/>
    </row>
    <row r="50" ht="60" customHeight="1">
      <c r="A50" s="3" t="str">
        <v>来源选择与覆盖</v>
      </c>
      <c r="B50" s="15" t="str">
        <v>RC-SRC-14</v>
      </c>
      <c r="C50" s="16" t="str">
        <v>P1</v>
      </c>
      <c r="D50" s="3" t="str">
        <v>两路完成顺序与迟到结果</v>
      </c>
      <c r="E50" s="3" t="str">
        <v>both 固定候选；让 W 先完成/L 先完成轮流。</v>
      </c>
      <c r="F50" s="3" t="str">
        <v>1. 控制各路返回顺序
2. 比较相同最终候选/融合/覆盖。</v>
      </c>
      <c r="G50" s="3" t="str">
        <v>两路完成的先后顺序不能决定来源优先级或融合分数。超过期限的晚到结果按故障或终态规则处理，不能改变已提交 Pack。只有输入和策略固定时，才比较排名是否一致。</v>
      </c>
      <c r="H50" s="17" t="str"/>
    </row>
    <row r="51" ht="75" customHeight="1">
      <c r="A51" s="18" t="str">
        <v>Query Embedding 与模型空间</v>
      </c>
      <c r="B51" s="19" t="str">
        <v>RC-EMB-01</v>
      </c>
      <c r="C51" s="20" t="str">
        <v>P0</v>
      </c>
      <c r="D51" s="18" t="str">
        <v>原生 Query 向量及空间绑定</v>
      </c>
      <c r="E51" s="18" t="str">
        <v>Working 咖啡记忆“用户喝咖啡不加糖。”及茶记忆“用户喜欢乌龙茶。”，v1/g1 Ready/长期记忆“用户每周二上午参加项目评审；遇节假日顺延。”，Ready；已绑定真 BGE-small-zh-v1.5 空间。</v>
      </c>
      <c r="F51" s="18" t="str">
        <v>1. 分别发起 working 和长期来源的查询
2. 核对向量维度、范数、模型/权重/tokenizer/usage 与输入摘要。</v>
      </c>
      <c r="G51" s="18" t="str">
        <v>当前配置输出 512 维、归一化、有限向量；Query usage/模型/权重/tokenizer/input_hash 正确，与 Passage 空间兼容；范数容差未明确时标 blocked_requirement。</v>
      </c>
      <c r="H51" s="21" t="str"/>
    </row>
    <row r="52" ht="60" customHeight="1">
      <c r="A52" s="3" t="str">
        <v>Query Embedding 与模型空间</v>
      </c>
      <c r="B52" s="15" t="str">
        <v>RC-EMB-02</v>
      </c>
      <c r="C52" s="16" t="str">
        <v>P0</v>
      </c>
      <c r="D52" s="3" t="str">
        <v>Query 用途与双重前缀</v>
      </c>
      <c r="E52" s="3" t="str">
        <v>同模型查询文本；Query/Passage 前缀配置可观测。</v>
      </c>
      <c r="F52" s="3" t="str">
        <v>1. 记录实际模型输入
2. 对照绑定前缀
3. 重复 Query。</v>
      </c>
      <c r="G52" s="3" t="str">
        <v>Query 严格按绑定规则格式化，无双重前缀/Passage 误用；不强求同文本两 usage 向量不同；输入指纹稳定。</v>
      </c>
      <c r="H52" s="17" t="str"/>
    </row>
    <row r="53" ht="60" customHeight="1">
      <c r="A53" s="3" t="str">
        <v>Query Embedding 与模型空间</v>
      </c>
      <c r="B53" s="15" t="str">
        <v>RC-EMB-03</v>
      </c>
      <c r="C53" s="16" t="str">
        <v>P0</v>
      </c>
      <c r="D53" s="3" t="str">
        <v>模型实际输入长度边界</v>
      </c>
      <c r="E53" s="3" t="str">
        <v>tokenizer 实际上限 L，配置上限 Lc；含用途前缀后的计数。</v>
      </c>
      <c r="F53" s="3" t="str">
        <v>1. 构造 L-1/L/L+1 输入
2. 逐项编码
3. 配置 Lc 高于真实 L 对照。</v>
      </c>
      <c r="G53" s="3" t="str">
        <v>公开实际有效输入上限。超长输入应明确拒绝，不能截断；前缀和模型包装是否计入 L 按当前 tokenizer 规则判断，不按字符数判断。</v>
      </c>
      <c r="H53" s="17" t="str"/>
    </row>
    <row r="54" ht="60" customHeight="1">
      <c r="A54" s="3" t="str">
        <v>Query Embedding 与模型空间</v>
      </c>
      <c r="B54" s="15" t="str">
        <v>RC-EMB-04</v>
      </c>
      <c r="C54" s="16" t="str">
        <v>P1</v>
      </c>
      <c r="D54" s="3" t="str">
        <v>相同空间 ID 配置冲突</v>
      </c>
      <c r="E54" s="3" t="str">
        <v>同 space ID 换权重/tokenizer/前缀/normalization/distance 之一。</v>
      </c>
      <c r="F54" s="3" t="str">
        <v>1. 在独立副本启动
2. 检查 binding 错误
3. 原环境重取。</v>
      </c>
      <c r="G54" s="3" t="str">
        <v>同 ID 不同配置拒绝/空间不兼容明确；不改标签冒充原空间；原数据不清空、不重写原索引。</v>
      </c>
      <c r="H54" s="17" t="str"/>
    </row>
    <row r="55" ht="60" customHeight="1">
      <c r="A55" s="3" t="str">
        <v>Query Embedding 与模型空间</v>
      </c>
      <c r="B55" s="15" t="str">
        <v>RC-EMB-05</v>
      </c>
      <c r="C55" s="16" t="str">
        <v>P0</v>
      </c>
      <c r="D55" s="3" t="str">
        <v>同维度异模型空间拒绝</v>
      </c>
      <c r="E55" s="3" t="str">
        <v>新模型与原模型都 512 维、权重不同，旧投影残留。</v>
      </c>
      <c r="F55" s="3" t="str">
        <v>1. 查询新空间
2. 受控返回旧空间块
3. 核验结果。</v>
      </c>
      <c r="G55" s="3" t="str">
        <v>维度相同不等于兼容；拒绝旧空间候选，不混排、不关联旧分数与新正文。</v>
      </c>
      <c r="H55" s="17" t="str"/>
    </row>
    <row r="56" ht="55.5" customHeight="1">
      <c r="A56" s="3" t="str">
        <v>Query Embedding 与模型空间</v>
      </c>
      <c r="B56" s="15" t="str">
        <v>RC-EMB-06</v>
      </c>
      <c r="C56" s="16" t="str">
        <v>P0</v>
      </c>
      <c r="D56" s="3" t="str">
        <v>非法向量及归一化</v>
      </c>
      <c r="E56" s="3" t="str">
        <v>严格编码提供方返回 NaN/+Inf/-Inf/零向量/非单位范数。</v>
      </c>
      <c r="F56" s="3" t="str">
        <v>1. 每个变体单独请求
2. 检查输出验证与下游搜索。</v>
      </c>
      <c r="G56" s="3" t="str">
        <v>非法向量被拒，不发送 Milvus、不生成 Pack；归一化容差未明确时标 blocked_requirement。</v>
      </c>
      <c r="H56" s="17" t="str"/>
    </row>
    <row r="57" ht="60" customHeight="1">
      <c r="A57" s="3" t="str">
        <v>Query Embedding 与模型空间</v>
      </c>
      <c r="B57" s="15" t="str">
        <v>RC-EMB-07</v>
      </c>
      <c r="C57" s="16" t="str">
        <v>P0</v>
      </c>
      <c r="D57" s="3" t="str">
        <v>编码结果身份和输入绑定</v>
      </c>
      <c r="E57" s="3" t="str">
        <v>严格提供方错 operation_id/usage/model_space/input_hash。</v>
      </c>
      <c r="F57" s="3" t="str">
        <v>1. 仅错一个绑定字段
2. 提交
3. 查看阶段错误。</v>
      </c>
      <c r="G57" s="3" t="str">
        <v>输出与请求的绑定不匹配时，判为契约错误。不能关联到其他请求，也不能以依赖 fallback 掩盖错误。</v>
      </c>
      <c r="H57" s="17" t="str"/>
    </row>
    <row r="58" ht="55.5" customHeight="1">
      <c r="A58" s="3" t="str">
        <v>Query Embedding 与模型空间</v>
      </c>
      <c r="B58" s="15" t="str">
        <v>RC-EMB-08</v>
      </c>
      <c r="C58" s="16" t="str">
        <v>P1</v>
      </c>
      <c r="D58" s="3" t="str">
        <v>批编码数量索引与维度</v>
      </c>
      <c r="E58" s="3" t="str">
        <v>批结果缺条/多条/重复 index/跳号/顺序错位/维度 511 或 513。</v>
      </c>
      <c r="F58" s="3" t="str">
        <v>1. 逐个变体提供非法批
2. 比较实际输入/输出核验。</v>
      </c>
      <c r="G58" s="3" t="str">
        <v>核验输出数量、连续 index、输入输出对应关系和维度。不能因 zip 配对而丢失条目，也不能将其他输入的向量配给当前 query。</v>
      </c>
      <c r="H58" s="17" t="str"/>
    </row>
    <row r="59" ht="55.5" customHeight="1">
      <c r="A59" s="3" t="str">
        <v>Query Embedding 与模型空间</v>
      </c>
      <c r="B59" s="15" t="str">
        <v>RC-EMB-09</v>
      </c>
      <c r="C59" s="16" t="str">
        <v>P0</v>
      </c>
      <c r="D59" s="3" t="str">
        <v>模型缺失不词法兜底</v>
      </c>
      <c r="E59" s="3" t="str">
        <v>模型权重缺失/不可读/不兼容 ONNX 包；已有 binding 不变。</v>
      </c>
      <c r="F59" s="3" t="str">
        <v>1. 独立部署启动或加载
2. 尝试 Recall。</v>
      </c>
      <c r="G59" s="3" t="str">
        <v>明确模型/依赖不可用；无词法向量兜底，无与实际能力不符的健康状态。原 PyTorch 目录不自动当 ONNX 包使用。</v>
      </c>
      <c r="H59" s="17" t="str"/>
    </row>
    <row r="60" ht="60" customHeight="1">
      <c r="A60" s="3" t="str">
        <v>Query Embedding 与模型空间</v>
      </c>
      <c r="B60" s="15" t="str">
        <v>RC-EMB-10</v>
      </c>
      <c r="C60" s="16" t="str">
        <v>P1</v>
      </c>
      <c r="D60" s="3" t="str">
        <v>CPU 超时槽位生命周期</v>
      </c>
      <c r="E60" s="3" t="str">
        <v>慢 CPU 编码已启动、尚未结束；确认推理槽容量 N。</v>
      </c>
      <c r="F60" s="3" t="str">
        <v>1. 让请求超时但内核仍跑
2. 提交另 N 个请求
3. 放行内核。</v>
      </c>
      <c r="G60" s="3" t="str">
        <v>请求超时后，仍在运行的内核继续占用真实槽位，不能超容量并行。晚到向量不能改变终态；内核结束后容量可回收，不持续泄漏。</v>
      </c>
      <c r="H60" s="17" t="str"/>
    </row>
    <row r="61" ht="60" customHeight="1">
      <c r="A61" s="3" t="str">
        <v>Query Embedding 与模型空间</v>
      </c>
      <c r="B61" s="15" t="str">
        <v>RC-EMB-11</v>
      </c>
      <c r="C61" s="16" t="str">
        <v>P0</v>
      </c>
      <c r="D61" s="3" t="str">
        <v>参数构造已消耗 deadline</v>
      </c>
      <c r="E61" s="3" t="str">
        <v>请求在参数构造前已耗期限；慢初始化可控。</v>
      </c>
      <c r="F61" s="3" t="str">
        <v>1. 耗尽剩余 deadline
2. 到达 native 调用
3. 观察阶段/终态。</v>
      </c>
      <c r="G61" s="3" t="str">
        <v>参数构造和初始化耗时计入原 deadline；不能在 CPU 开始时重置为完整预算；过期结果不得提交，阶段与期限证据可追溯。</v>
      </c>
      <c r="H61" s="17" t="str"/>
    </row>
    <row r="62" ht="60" customHeight="1">
      <c r="A62" s="3" t="str">
        <v>Query Embedding 与模型空间</v>
      </c>
      <c r="B62" s="15" t="str">
        <v>RC-EMB-12</v>
      </c>
      <c r="C62" s="16" t="str">
        <v>P0</v>
      </c>
      <c r="D62" s="3" t="str">
        <v>撤权删除后迟到编码</v>
      </c>
      <c r="E62" s="3" t="str">
        <v>Embedding 已启动、CPU 未结束时撤权/删除/期限届满，分别执行。</v>
      </c>
      <c r="F62" s="3" t="str">
        <v>1. 确认 CPU 已启动
2. 分别撤权、删除或耗尽原 deadline，等待变更回执
3. 放行晚到向量。</v>
      </c>
      <c r="G62" s="3" t="str">
        <v>晚到编码不能绕过当前资格或复活期限已结束的请求；撤权/删除后不交相关 Pack；期限届满后不提交成功；保留原输入、ID、资格变更时点及实际 CPU 结束证据。</v>
      </c>
      <c r="H62" s="17" t="str"/>
    </row>
    <row r="63" ht="55.5" customHeight="1">
      <c r="A63" s="3" t="str">
        <v>Query Embedding 与模型空间</v>
      </c>
      <c r="B63" s="15" t="str">
        <v>RC-EMB-13</v>
      </c>
      <c r="C63" s="16" t="str">
        <v>P1</v>
      </c>
      <c r="D63" s="3" t="str">
        <v>补取与重试 Query 固定性</v>
      </c>
      <c r="E63" s="3" t="str">
        <v>同一检索过程发生当前分页补取；both 来源或 Activity 重试另作变体。</v>
      </c>
      <c r="F63" s="3" t="str">
        <v>1. 记录每次 query 摘要/space/vector
2. 触发补取/重试。</v>
      </c>
      <c r="G63" s="3" t="str">
        <v>同一分页检索保持 Query/space/vector；跨来源及 Activity 重试的编码复用规则未明确时标 blocked_requirement。</v>
      </c>
      <c r="H63" s="17" t="str"/>
    </row>
    <row r="64" ht="60" customHeight="1">
      <c r="A64" s="3" t="str">
        <v>Query Embedding 与模型空间</v>
      </c>
      <c r="B64" s="15" t="str">
        <v>RC-EMB-14</v>
      </c>
      <c r="C64" s="16" t="str">
        <v>P2</v>
      </c>
      <c r="D64" s="3" t="str">
        <v>重复推理及浮点容差</v>
      </c>
      <c r="E64" s="3" t="str">
        <v>同输入固定权重、硬件/精度/线程均记录。</v>
      </c>
      <c r="F64" s="3" t="str">
        <v>1. 连续 3 次 Query
2. 比较绑定与有限向量
3. 更换精度独立空间对照。</v>
      </c>
      <c r="G64" s="3" t="str">
        <v>绑定/计数稳定，向量满足契约；不混用空间；浮点容差未明确时标 blocked_requirement。</v>
      </c>
      <c r="H64" s="17" t="str"/>
    </row>
    <row r="65" ht="60" customHeight="1">
      <c r="A65" s="18" t="str">
        <v>向量搜索与多块候选</v>
      </c>
      <c r="B65" s="19" t="str">
        <v>RC-SEA-01</v>
      </c>
      <c r="C65" s="20" t="str">
        <v>P0</v>
      </c>
      <c r="D65" s="18" t="str">
        <v>过滤先于 TopK 的不利对照</v>
      </c>
      <c r="E65" s="18" t="str">
        <v>服务端每来源 K=1；合法目标分数低于范围外 tenant/user/session/source/space 对象。</v>
      </c>
      <c r="F65" s="18" t="str">
        <v>1. 直接受控查询证明不利 Top1
2. 正式 Recall
3. 记录 filter 与合法候选。</v>
      </c>
      <c r="G65" s="18" t="str">
        <v>scope/model_space/memory_source 在各来源截断前过滤；合法低分候选仍被发现；不先全库 Top1 再丢弃而报空。</v>
      </c>
      <c r="H65" s="21" t="str"/>
    </row>
    <row r="66" ht="60" customHeight="1">
      <c r="A66" s="3" t="str">
        <v>向量搜索与多块候选</v>
      </c>
      <c r="B66" s="15" t="str">
        <v>RC-SEA-02</v>
      </c>
      <c r="C66" s="16" t="str">
        <v>P0</v>
      </c>
      <c r="D66" s="3" t="str">
        <v>Working 与长期投影搜索 binding</v>
      </c>
      <c r="E66" s="3" t="str">
        <v>Working/长期共享实际 Milvus 后端与空间，来源内容相同。</v>
      </c>
      <c r="F66" s="3" t="str">
        <v>1. W/L 分别请求
2. 查看 provider binding、source filter。</v>
      </c>
      <c r="G66" s="3" t="str">
        <v>搜索与 Remember 投影使用同一兼容 binding，来源之间不能混用。分别使用两个不一致的向量副本，即使命中内容相同，也不能判为绑定正确。</v>
      </c>
      <c r="H66" s="17" t="str"/>
    </row>
    <row r="67" ht="60" customHeight="1">
      <c r="A67" s="3" t="str">
        <v>向量搜索与多块候选</v>
      </c>
      <c r="B67" s="15" t="str">
        <v>RC-SEA-03</v>
      </c>
      <c r="C67" s="16" t="str">
        <v>P0</v>
      </c>
      <c r="D67" s="3" t="str">
        <v>多块按记忆占位与最高分</v>
      </c>
      <c r="E67" s="3" t="str">
        <v>同 ID 的长正文分成多个合格块，含 BEGIN/MIDDLE/END；另有两个独立 ID；K=3。</v>
      </c>
      <c r="F67" s="3" t="str">
        <v>1. 固定块命中
2. qualify
3. 候选/正文组包。</v>
      </c>
      <c r="G67" s="3" t="str">
        <v>同一 scope+ID 只占一个主候选，候选分数取最高合格块分数，不累加块数。完整正文只入包一次，块不能作为独立记忆。</v>
      </c>
      <c r="H67" s="17" t="str"/>
    </row>
    <row r="68" ht="60" customHeight="1">
      <c r="A68" s="3" t="str">
        <v>向量搜索与多块候选</v>
      </c>
      <c r="B68" s="15" t="str">
        <v>RC-SEA-04</v>
      </c>
      <c r="C68" s="16" t="str">
        <v>P0</v>
      </c>
      <c r="D68" s="3" t="str">
        <v>不同版本批次分数隔离</v>
      </c>
      <c r="E68" s="3" t="str">
        <v>同 ID 的 v1/g1 与 v2/g2 混合命中；当前为 v2/g2。</v>
      </c>
      <c r="F68" s="3" t="str">
        <v>1. 返回旧高分和新低分块
2. 候选核验
3. 查看 score 与 Ref。</v>
      </c>
      <c r="G68" s="3" t="str">
        <v>不跨版本/批次加分，旧版本的高分不能用于当前正文；候选只用 B 允许的精确版本与已发布 generation。</v>
      </c>
      <c r="H68" s="17" t="str"/>
    </row>
    <row r="69" ht="55.5" customHeight="1">
      <c r="A69" s="3" t="str">
        <v>向量搜索与多块候选</v>
      </c>
      <c r="B69" s="15" t="str">
        <v>RC-SEA-05</v>
      </c>
      <c r="C69" s="16" t="str">
        <v>P0</v>
      </c>
      <c r="D69" s="3" t="str">
        <v>仅合格块参与候选分数</v>
      </c>
      <c r="E69" s="3" t="str">
        <v>同 ID 合格与被排除块混排；被排除块最高分。</v>
      </c>
      <c r="F69" s="3" t="str">
        <v>1. 控制 qualify 一块 excluded
2. 聚合/排序。</v>
      </c>
      <c r="G69" s="3" t="str">
        <v>候选 score 只来自合格块；被排除块不得留下排名优势；不泄露受限块 ID 给调用方。</v>
      </c>
      <c r="H69" s="17" t="str"/>
    </row>
    <row r="70" ht="60" customHeight="1">
      <c r="A70" s="3" t="str">
        <v>向量搜索与多块候选</v>
      </c>
      <c r="B70" s="15" t="str">
        <v>RC-SEA-06</v>
      </c>
      <c r="C70" s="16" t="str">
        <v>P1</v>
      </c>
      <c r="D70" s="3" t="str">
        <v>不足记忆 K 的有界补取</v>
      </c>
      <c r="E70" s="3" t="str">
        <v>第一页全被同 ID/旧版本占满，下一页有其他合格 ID。</v>
      </c>
      <c r="F70" s="3" t="str">
        <v>1. 服务端 K=3
2. 控制分页
3. 检查补取次数/停止。</v>
      </c>
      <c r="G70" s="3" t="str">
        <v>在当前页、块、轮数和期限限额内补取。第一页长度≥K 不代表已取得 K 条记忆；不能为凑足数量而放宽权限。</v>
      </c>
      <c r="H70" s="17" t="str"/>
    </row>
    <row r="71" ht="75" customHeight="1">
      <c r="A71" s="3" t="str">
        <v>向量搜索与多块候选</v>
      </c>
      <c r="B71" s="15" t="str">
        <v>RC-SEA-07</v>
      </c>
      <c r="C71" s="16" t="str">
        <v>P1</v>
      </c>
      <c r="D71" s="3" t="str">
        <v>页、块、轮数的独立上限</v>
      </c>
      <c r="E71" s="3" t="str">
        <v>当前独立页/块/轮限额各 N，K 满足或不足两类。</v>
      </c>
      <c r="F71" s="3" t="str">
        <v>1. 各限额 N-1/N/N+1 输入
2. 单独触发一上限
3. 以 READ+DIAGNOSE 身份检查 Trace/job、资格、正文、事务和事件。</v>
      </c>
      <c r="G71" s="3" t="str">
        <v>各上限独立生效，到限停止且原因可查，不超限查询；N/计数规则未明确时标 blocked_requirement。</v>
      </c>
      <c r="H71" s="17" t="str"/>
    </row>
    <row r="72" ht="55.5" customHeight="1">
      <c r="A72" s="3" t="str">
        <v>向量搜索与多块候选</v>
      </c>
      <c r="B72" s="15" t="str">
        <v>RC-SEA-08</v>
      </c>
      <c r="C72" s="16" t="str">
        <v>P1</v>
      </c>
      <c r="D72" s="3" t="str">
        <v>重复乱序页与无进展</v>
      </c>
      <c r="E72" s="3" t="str">
        <v>重复块、重复整页、乱序页面；数据稳定。</v>
      </c>
      <c r="F72" s="3" t="str">
        <v>1. 重复返回同页直到限额
2. 检查不同块数与终态。</v>
      </c>
      <c r="G72" s="3" t="str">
        <v>重复块和页面不重复占位或计分，也不能造成无限循环。记录无进展或触及限额的原因，不将其解释为已遍历全库；重复页不能增加有效数量。</v>
      </c>
      <c r="H72" s="17" t="str"/>
    </row>
    <row r="73" ht="55.5" customHeight="1">
      <c r="A73" s="3" t="str">
        <v>向量搜索与多块候选</v>
      </c>
      <c r="B73" s="15" t="str">
        <v>RC-SEA-09</v>
      </c>
      <c r="C73" s="16" t="str">
        <v>P0</v>
      </c>
      <c r="D73" s="3" t="str">
        <v>搜索引用或元数据不合法</v>
      </c>
      <c r="E73" s="3" t="str">
        <v>hits 缺 Ref/version/hash/generation、错 scope、重复冲突元数据。</v>
      </c>
      <c r="F73" s="3" t="str">
        <v>1. 逐项返回非法搜索响应
2. 检查 qualify/read 调用及阶段错误。</v>
      </c>
      <c r="G73" s="3" t="str">
        <v>格式或身份信息不完整时，不作为可用候选；错 scope 不入 Remember 正文/模型；契约错误不能当普通无匹配。</v>
      </c>
      <c r="H73" s="17" t="str"/>
    </row>
    <row r="74" ht="55.5" customHeight="1">
      <c r="A74" s="3" t="str">
        <v>向量搜索与多块候选</v>
      </c>
      <c r="B74" s="15" t="str">
        <v>RC-SEA-10</v>
      </c>
      <c r="C74" s="16" t="str">
        <v>P1</v>
      </c>
      <c r="D74" s="3" t="str">
        <v>非法分数与距离方向</v>
      </c>
      <c r="E74" s="3" t="str">
        <v>搜索相似度 NaN/Inf；提供方 distance 越小越近。</v>
      </c>
      <c r="F74" s="3" t="str">
        <v>1. 非法分数
2. 固定距离 0.1/0.4 对照。</v>
      </c>
      <c r="G74" s="3" t="str">
        <v>非有限值被拒；若 distance 已绑定则统一相关性次序单调正确；不混不同度量/空间分数；精确转换函数按提供方契约。</v>
      </c>
      <c r="H74" s="17" t="str"/>
    </row>
    <row r="75" ht="55.5" customHeight="1">
      <c r="A75" s="3" t="str">
        <v>向量搜索与多块候选</v>
      </c>
      <c r="B75" s="15" t="str">
        <v>RC-SEA-11</v>
      </c>
      <c r="C75" s="16" t="str">
        <v>P1</v>
      </c>
      <c r="D75" s="3" t="str">
        <v>候选同分稳定性</v>
      </c>
      <c r="E75" s="3" t="str">
        <v>两合格 ID 相同最高分；全输入固定；改变块/页顺序。</v>
      </c>
      <c r="F75" s="3" t="str">
        <v>1. 各排列检索
2. 比较候选排名。</v>
      </c>
      <c r="G75" s="3" t="str">
        <v>同分不重复占位、不串 Ref/版本；固定输入按确认规则排序；破同分规则未明确时标 blocked_requirement。</v>
      </c>
      <c r="H75" s="17" t="str"/>
    </row>
    <row r="76" ht="60" customHeight="1">
      <c r="A76" s="18" t="str">
        <v>Remember 资格消费</v>
      </c>
      <c r="B76" s="19" t="str">
        <v>RC-QUA-01</v>
      </c>
      <c r="C76" s="20" t="str">
        <v>P0</v>
      </c>
      <c r="D76" s="18" t="str">
        <v>合法资格目标与结果全覆盖</v>
      </c>
      <c r="E76" s="18" t="str">
        <v>hits 含多个精确 targets；Remember allowed 并给匹配 manifest/guard。</v>
      </c>
      <c r="F76" s="18" t="str">
        <v>1. 核对 qualify 请求非空/去重/purpose
2. 检查响应覆盖
3. 组包。</v>
      </c>
      <c r="G76" s="18" t="str">
        <v>targets 与 Ref/generation/space/body_hash/chunk_index/vector_id/input_hash 精确绑定。allowed 必须附带完整且匹配的证据；qualify 不产生 read 或热度。</v>
      </c>
      <c r="H76" s="21" t="str"/>
    </row>
    <row r="77" ht="55.5" customHeight="1">
      <c r="A77" s="3" t="str">
        <v>Remember 资格消费</v>
      </c>
      <c r="B77" s="15" t="str">
        <v>RC-QUA-02</v>
      </c>
      <c r="C77" s="16" t="str">
        <v>P0</v>
      </c>
      <c r="D77" s="3" t="str">
        <v>allowed 证据缺失错配</v>
      </c>
      <c r="E77" s="3" t="str">
        <v>allowed 但 manifest/guard 缺失或字段不符。</v>
      </c>
      <c r="F77" s="3" t="str">
        <v>1. 逐项改变证据
2. 继续 Recall。</v>
      </c>
      <c r="G77" s="3" t="str">
        <v>证据缺失或错配时，不能作为合格候选。该错误属于契约错误，应与 excluded 区分；不能仅凭 decision=allowed 就读取或交付正文。</v>
      </c>
      <c r="H77" s="17" t="str"/>
    </row>
    <row r="78" ht="55.5" customHeight="1">
      <c r="A78" s="3" t="str">
        <v>Remember 资格消费</v>
      </c>
      <c r="B78" s="15" t="str">
        <v>RC-QUA-03</v>
      </c>
      <c r="C78" s="16" t="str">
        <v>P1</v>
      </c>
      <c r="D78" s="3" t="str">
        <v>非 allowed 非法附证据</v>
      </c>
      <c r="E78" s="3" t="str">
        <v>excluded/unverifiable 携带不应有 manifest 或 guard；非法 decision。</v>
      </c>
      <c r="F78" s="3" t="str">
        <v>1. 每个变体返回
2. 查看阶段结果。</v>
      </c>
      <c r="G78" s="3" t="str">
        <v>非法 decision/附证据报契约错误，不改为 allowed；合法 unverifiable 按 RC-QUA-05 核验。</v>
      </c>
      <c r="H78" s="17" t="str">
        <f>HYPERLINK("#'Recall测试用例'!B"&amp;(MATCH("RC-QUA-05",$B$2:$B$179,0)+1),"RC-QUA-05")</f>
        <v>RC-QUA-05</v>
      </c>
    </row>
    <row r="79" ht="60" customHeight="1">
      <c r="A79" s="3" t="str">
        <v>Remember 资格消费</v>
      </c>
      <c r="B79" s="15" t="str">
        <v>RC-QUA-04</v>
      </c>
      <c r="C79" s="16" t="str">
        <v>P0</v>
      </c>
      <c r="D79" s="3" t="str">
        <v>资格结果缺项、重复、额外或错配目标</v>
      </c>
      <c r="E79" s="3" t="str">
        <v>B 响应缺项/重复/额外目标/错目标、顺序变化对照。</v>
      </c>
      <c r="F79" s="3" t="str">
        <v>1. 给 2 targets
2. 逐个变体回应。</v>
      </c>
      <c r="G79" s="3" t="str">
        <v>响应须精确覆盖全部目标；缺项、重复和错配应报契约错误。若协议允许乱序，必须按 target 配对，不能按位置 zip 导致错配；顺序要求以实际契约为准。</v>
      </c>
      <c r="H79" s="17" t="str"/>
    </row>
    <row r="80" ht="55.5" customHeight="1">
      <c r="A80" s="3" t="str">
        <v>Remember 资格消费</v>
      </c>
      <c r="B80" s="15" t="str">
        <v>RC-QUA-05</v>
      </c>
      <c r="C80" s="16" t="str">
        <v>P0</v>
      </c>
      <c r="D80" s="3" t="str">
        <v>excluded 与 unverifiable 区分</v>
      </c>
      <c r="E80" s="3" t="str">
        <v>allowed+excluded+unverifiable；部分策略允许/禁止。</v>
      </c>
      <c r="F80" s="3" t="str">
        <v>1. 返回合法三态
2. 比较来源覆盖与结果。</v>
      </c>
      <c r="G80" s="3" t="str">
        <v>excluded 是资格否决，unverifiable 是无法核验，后者影响覆盖不能伪装无结果；策略允许才交可信部分；不公开敏感排除原因。</v>
      </c>
      <c r="H80" s="17" t="str"/>
    </row>
    <row r="81" ht="60" customHeight="1">
      <c r="A81" s="3" t="str">
        <v>Remember 资格消费</v>
      </c>
      <c r="B81" s="15" t="str">
        <v>RC-QUA-06</v>
      </c>
      <c r="C81" s="16" t="str">
        <v>P0</v>
      </c>
      <c r="D81" s="3" t="str">
        <v>同记忆矛盾证据有界重验</v>
      </c>
      <c r="E81" s="3" t="str">
        <v>同批两个块同记忆却给冲突权威 view/版本/guard。</v>
      </c>
      <c r="F81" s="3" t="str">
        <v>1. 首次冲突
2. 重验一次仍冲突
3. 记录次数。</v>
      </c>
      <c r="G81" s="3" t="str">
        <v>按已确认的一次重验契约最多重验一次；仍冲突则排除并降低覆盖，不混用 view、不无限重验；次数契约未确认时标 blocked_requirement。</v>
      </c>
      <c r="H81" s="17" t="str"/>
    </row>
    <row r="82" ht="60" customHeight="1">
      <c r="A82" s="3" t="str">
        <v>Remember 资格消费</v>
      </c>
      <c r="B82" s="15" t="str">
        <v>RC-QUA-07</v>
      </c>
      <c r="C82" s="16" t="str">
        <v>P0</v>
      </c>
      <c r="D82" s="3" t="str">
        <v>旧版本未发布墓碑等资格</v>
      </c>
      <c r="E82" s="3" t="str">
        <v>同 ID v1/g1 残留、v2/g2 当前 Ready，另备 v3 pending 及错 hash/space/generation；旧/pending/failed/墓碑/过期/撤源逐状态。</v>
      </c>
      <c r="F82" s="3" t="str">
        <v>1. 搜索仍返回该 Ref
2. 真实 Remember 资格核验
3. 检查正文/Pack。</v>
      </c>
      <c r="G82" s="3" t="str">
        <v>各状态按权威资格处理而非索引存在即 Ready；不回退旧版本凑 K；依赖失败不能记成普通资格排除。</v>
      </c>
      <c r="H82" s="17" t="str"/>
    </row>
    <row r="83" ht="60" customHeight="1">
      <c r="A83" s="3" t="str">
        <v>Remember 资格消费</v>
      </c>
      <c r="B83" s="15" t="str">
        <v>RC-QUA-08</v>
      </c>
      <c r="C83" s="16" t="str">
        <v>P0</v>
      </c>
      <c r="D83" s="3" t="str">
        <v>同批权威视图与后续变化</v>
      </c>
      <c r="E83" s="3" t="str">
        <v>qualify 批处理中可变更 grant/版本；可暂停在 qualify 完成、正文加载前。</v>
      </c>
      <c r="F83" s="3" t="str">
        <v>1. 控制批内变更
2. 查看所有结果 view
3. 后续读取/最终守卫。</v>
      </c>
      <c r="G83" s="3" t="str">
        <v>同一批次采用一致的权威视图，后续资格变化须重新核验。不能把旧 epoch 与新 revision 的证据拼成一个成功包。</v>
      </c>
      <c r="H83" s="17" t="str"/>
    </row>
    <row r="84" ht="60" customHeight="1">
      <c r="A84" s="18" t="str">
        <v>RRF 与融合</v>
      </c>
      <c r="B84" s="19" t="str">
        <v>RC-FUS-01</v>
      </c>
      <c r="C84" s="20" t="str">
        <v>P0</v>
      </c>
      <c r="D84" s="18" t="str">
        <v>RRF 的 rank 起点和常数校验</v>
      </c>
      <c r="E84" s="18" t="str">
        <v>同 scope 的合法列表 W=[A v2,B v1]、L=[C v1,A v2]；关闭重排，预算足够。</v>
      </c>
      <c r="F84" s="18" t="str">
        <v>1. 运行融合
2. 按 1/(60+rank)人工核算
3. 比较阶段分数。</v>
      </c>
      <c r="G84" s="18" t="str">
        <v>A 贡献 1/61+1/62，C=1/61，B=1/62；A&gt;C&gt;B；rank 从 1 不是 0，浮点容差契约明确。</v>
      </c>
      <c r="H84" s="21" t="str"/>
    </row>
    <row r="85" ht="60" customHeight="1">
      <c r="A85" s="3" t="str">
        <v>RRF 与融合</v>
      </c>
      <c r="B85" s="15" t="str">
        <v>RC-FUS-02</v>
      </c>
      <c r="C85" s="16" t="str">
        <v>P0</v>
      </c>
      <c r="D85" s="3" t="str">
        <v>同路重复不得加分或改排名</v>
      </c>
      <c r="E85" s="3" t="str">
        <v>W=[A,A,B]，L=[C,A]；同 Ref 重复。</v>
      </c>
      <c r="F85" s="3" t="str">
        <v>1. 执行 W=[A,A,B]、L=[C,A]
2. 与 W=[A,B]、L=[C,A] 对照
3. 核对名次与 RRF 贡献。</v>
      </c>
      <c r="G85" s="3" t="str">
        <v>同路重复不增加 A 的分数，也不把 B 从第二个独立名次移到第三个。跨来源时，每路对同一 Ref 最多贡献一次。</v>
      </c>
      <c r="H85" s="17" t="str"/>
    </row>
    <row r="86" ht="55.5" customHeight="1">
      <c r="A86" s="3" t="str">
        <v>RRF 与融合</v>
      </c>
      <c r="B86" s="15" t="str">
        <v>RC-FUS-03</v>
      </c>
      <c r="C86" s="16" t="str">
        <v>P0</v>
      </c>
      <c r="D86" s="3" t="str">
        <v>跨路精确版本融合</v>
      </c>
      <c r="E86" s="3" t="str">
        <v>W=A v2、L=A v1 旧+A v2；Remember 允 v2。</v>
      </c>
      <c r="F86" s="3" t="str">
        <v>1. 核验旧 Ref 排除
2. 融合。</v>
      </c>
      <c r="G86" s="3" t="str">
        <v>只有 scope、ID 及精确合格 version 相同才合并；v1 分数/来源不并入 v2；同名跨 tenant 由RC-AUTH-03阻断。</v>
      </c>
      <c r="H86" s="17" t="str">
        <f>HYPERLINK("#'Recall测试用例'!B"&amp;(MATCH("RC-AUTH-03",$B$2:$B$179,0)+1),"RC-AUTH-03")</f>
        <v>RC-AUTH-03</v>
      </c>
    </row>
    <row r="87" ht="55.5" customHeight="1">
      <c r="A87" s="3" t="str">
        <v>RRF 与融合</v>
      </c>
      <c r="B87" s="15" t="str">
        <v>RC-FUS-04</v>
      </c>
      <c r="C87" s="16" t="str">
        <v>P1</v>
      </c>
      <c r="D87" s="3" t="str">
        <v>单路候选名次保持</v>
      </c>
      <c r="E87" s="3" t="str">
        <v>单路合法记忆列表，多块数量不同。</v>
      </c>
      <c r="F87" s="3" t="str">
        <v>1. 单来源执行
2. 与本路名次比对。</v>
      </c>
      <c r="G87" s="3" t="str">
        <v>单路按该路候选顺序及已确认策略处理。每个 chunk 不能作为独立 RRF 贡献，也不能伪造另一来源。</v>
      </c>
      <c r="H87" s="17" t="str"/>
    </row>
    <row r="88" ht="60" customHeight="1">
      <c r="A88" s="3" t="str">
        <v>RRF 与融合</v>
      </c>
      <c r="B88" s="15" t="str">
        <v>RC-FUS-05</v>
      </c>
      <c r="C88" s="16" t="str">
        <v>P0</v>
      </c>
      <c r="D88" s="3" t="str">
        <v>资格过滤后再融合</v>
      </c>
      <c r="E88" s="3" t="str">
        <v>第一名为旧/撤权 Ref，中间混 unverifiable；其他合法。</v>
      </c>
      <c r="F88" s="3" t="str">
        <v>1. 过滤资格
2. 固定候选融合
3. 查看阶段排名。</v>
      </c>
      <c r="G88" s="3" t="str">
        <v>只融合合格候选列表，不让非法 Ref 占正式 rank 或贡献；unverifiable 覆盖仍报告；错误来源不能借其分数抬高可读条目。</v>
      </c>
      <c r="H88" s="17" t="str"/>
    </row>
    <row r="89" ht="55.5" customHeight="1">
      <c r="A89" s="3" t="str">
        <v>RRF 与融合</v>
      </c>
      <c r="B89" s="15" t="str">
        <v>RC-FUS-06</v>
      </c>
      <c r="C89" s="16" t="str">
        <v>P1</v>
      </c>
      <c r="D89" s="3" t="str">
        <v>相同正文不同 ID 不得错去重</v>
      </c>
      <c r="E89" s="3" t="str">
        <v>相同正文不同 ID；两个 Ref 字节相同但来源证据不同。</v>
      </c>
      <c r="F89" s="3" t="str">
        <v>1. 融合/组包
2. 检查 ID 与来源引用。</v>
      </c>
      <c r="G89" s="3" t="str">
        <v>不按 body_hash 错合并记忆或丢来源；候选按精确 Ref 去重；最终正文去重策略未明确时标 blocked_requirement。</v>
      </c>
      <c r="H89" s="17" t="str"/>
    </row>
    <row r="90" ht="55.5" customHeight="1">
      <c r="A90" s="3" t="str">
        <v>RRF 与融合</v>
      </c>
      <c r="B90" s="15" t="str">
        <v>RC-FUS-07</v>
      </c>
      <c r="C90" s="16" t="str">
        <v>P1</v>
      </c>
      <c r="D90" s="3" t="str">
        <v>融合与并发回调顺序独立</v>
      </c>
      <c r="E90" s="3" t="str">
        <v>固定合法列表 W=[A v2,B v1]、L=[C v1,A v2]；互换完成顺序，重复回调。</v>
      </c>
      <c r="F90" s="3" t="str">
        <v>1. 按RC-SRC-14时序返回
2. 比较融合分数/Pack。</v>
      </c>
      <c r="G90" s="3" t="str">
        <v>相同固定合法输入下贡献与排名不依完成顺序，重复回调不加分；相同策略与同分规则须已确认。</v>
      </c>
      <c r="H90" s="17" t="str">
        <f>HYPERLINK("#'Recall测试用例'!B"&amp;(MATCH("RC-SRC-14",$B$2:$B$179,0)+1),"RC-SRC-14")</f>
        <v>RC-SRC-14</v>
      </c>
    </row>
    <row r="91" ht="55.5" customHeight="1">
      <c r="A91" s="3" t="str">
        <v>RRF 与融合</v>
      </c>
      <c r="B91" s="15" t="str">
        <v>RC-FUS-08</v>
      </c>
      <c r="C91" s="16" t="str">
        <v>P2</v>
      </c>
      <c r="D91" s="3" t="str">
        <v>相关性不得等同事实真实性</v>
      </c>
      <c r="E91" s="3" t="str">
        <v>正文含否定“不加糖”、引述“同事说喜欢糖”、假设“如果加班就喝咖啡”、数字“周二10:00”；相关度高。</v>
      </c>
      <c r="F91" s="3" t="str">
        <v>1. 查询对应主题
2. 核对来源/正文/模型标识。</v>
      </c>
      <c r="G91" s="3" t="str">
        <v>保留原文否定、引述、条件、数字及来源；不把相关性分数当事实置信度，不改写为确定事实。</v>
      </c>
      <c r="H91" s="17" t="str"/>
    </row>
    <row r="92" ht="55.5" customHeight="1">
      <c r="A92" s="18" t="str">
        <v>CrossEncoder 重排</v>
      </c>
      <c r="B92" s="19" t="str">
        <v>RC-RER-01</v>
      </c>
      <c r="C92" s="20" t="str">
        <v>P1</v>
      </c>
      <c r="D92" s="18" t="str">
        <v>重排关闭及真实阶段记录</v>
      </c>
      <c r="E92" s="18" t="str">
        <v>同 scope 的固定候选 Working=[A v2,B v1]、长期=[C v1,A v2]；rerank disabled。</v>
      </c>
      <c r="F92" s="18" t="str">
        <v>1. 运行
2. 检查模型调用次数/健康/阶段。</v>
      </c>
      <c r="G92" s="18" t="str">
        <v>不调用 CrossEncoder，阶段记录准确显示 disabled；按融合顺序和当前组包策略处理，不能记为已完成重排。</v>
      </c>
      <c r="H92" s="21" t="str"/>
    </row>
    <row r="93" ht="60" customHeight="1">
      <c r="A93" s="3" t="str">
        <v>CrossEncoder 重排</v>
      </c>
      <c r="B93" s="15" t="str">
        <v>RC-RER-02</v>
      </c>
      <c r="C93" s="16" t="str">
        <v>P1</v>
      </c>
      <c r="D93" s="3" t="str">
        <v>重排分数与输入位置对应</v>
      </c>
      <c r="E93" s="3" t="str">
        <v>required；合法固定 scores 令 C&gt;A&gt;B；真模型单独跑对照。</v>
      </c>
      <c r="F93" s="3" t="str">
        <v>1. 先严格提供方可算排序
2. 再真实 CrossEncoder
3. 比较输入位置/输出对应。</v>
      </c>
      <c r="G93" s="3" t="str">
        <v>固定分数得到 C&gt;A&gt;B；输出与输入 Ref 一一对应，无缺项/串项；真实模型排序符合其实际分数。</v>
      </c>
      <c r="H93" s="17" t="str"/>
    </row>
    <row r="94" ht="60" customHeight="1">
      <c r="A94" s="3" t="str">
        <v>CrossEncoder 重排</v>
      </c>
      <c r="B94" s="15" t="str">
        <v>RC-RER-03</v>
      </c>
      <c r="C94" s="16" t="str">
        <v>P0</v>
      </c>
      <c r="D94" s="3" t="str">
        <v>required 重排故障</v>
      </c>
      <c r="E94" s="3" t="str">
        <v>rerank=required；融合候选完整；分别注入模型不可用、推理超时。</v>
      </c>
      <c r="F94" s="3" t="str">
        <v>1. 分别注入不可用、超时
2. 放行完整融合候选
3. 检查终态/Pack/降级。</v>
      </c>
      <c r="G94" s="3" t="str">
        <v>必需的重排模型不可用或超时时，请求失败。不能直接回退 RRF 并标为正常成功，也不能将依赖故障解释为空结果或全部候选不相关。</v>
      </c>
      <c r="H94" s="17" t="str"/>
    </row>
    <row r="95" ht="55.5" customHeight="1">
      <c r="A95" s="3" t="str">
        <v>CrossEncoder 重排</v>
      </c>
      <c r="B95" s="15" t="str">
        <v>RC-RER-04</v>
      </c>
      <c r="C95" s="16" t="str">
        <v>P0</v>
      </c>
      <c r="D95" s="3" t="str">
        <v>fallback 可恢复故障</v>
      </c>
      <c r="E95" s="3" t="str">
        <v>fallback；可恢复模型故障或 deadline 超时；融合正常。</v>
      </c>
      <c r="F95" s="3" t="str">
        <v>1. 注入故障
2. 检查 Pack 顺序/降级。</v>
      </c>
      <c r="G95" s="3" t="str">
        <v>只有已确认可降级的错误，才回退到原融合顺序，并记录 degraded 及原因。required 模式失败不能使用 fallback。</v>
      </c>
      <c r="H95" s="17" t="str"/>
    </row>
    <row r="96" ht="55.5" customHeight="1">
      <c r="A96" s="3" t="str">
        <v>CrossEncoder 重排</v>
      </c>
      <c r="B96" s="15" t="str">
        <v>RC-RER-05</v>
      </c>
      <c r="C96" s="16" t="str">
        <v>P0</v>
      </c>
      <c r="D96" s="3" t="str">
        <v>非法重排输出不得降级</v>
      </c>
      <c r="E96" s="3" t="str">
        <v>fallback；NaN/Inf、少/多 score、错输入数量/位置。</v>
      </c>
      <c r="F96" s="3" t="str">
        <v>1. 逐个非法响应
2. 查看契约错误与 Pack。</v>
      </c>
      <c r="G96" s="3" t="str">
        <v>非法分数和数量错配属于契约错误，不能 fallback 成功。不能将错误 score 置为 0、删掉条目或重新配对 Ref。</v>
      </c>
      <c r="H96" s="17" t="str"/>
    </row>
    <row r="97" ht="60" customHeight="1">
      <c r="A97" s="3" t="str">
        <v>CrossEncoder 重排</v>
      </c>
      <c r="B97" s="15" t="str">
        <v>RC-RER-06</v>
      </c>
      <c r="C97" s="16" t="str">
        <v>P0</v>
      </c>
      <c r="D97" s="3" t="str">
        <v>Query 正文配对长度边界</v>
      </c>
      <c r="E97" s="3" t="str">
        <v>配对输入有效上限 L；query 与完整 body 合计含模型包装。</v>
      </c>
      <c r="F97" s="3" t="str">
        <v>1. 构造 L-1/L/L+1
2. 查询
3. 检查实际模型输入。</v>
      </c>
      <c r="G97" s="3" t="str">
        <v>按 CrossEncoder tokenizer 校验完整配对长度；超限明确失败，不截断 query/body；长文处理规则未明确时标 blocked_requirement。</v>
      </c>
      <c r="H97" s="17" t="str"/>
    </row>
    <row r="98" ht="60" customHeight="1">
      <c r="A98" s="3" t="str">
        <v>CrossEncoder 重排</v>
      </c>
      <c r="B98" s="15" t="str">
        <v>RC-RER-07</v>
      </c>
      <c r="C98" s="16" t="str">
        <v>P1</v>
      </c>
      <c r="D98" s="3" t="str">
        <v>超时重排内核与容量回收</v>
      </c>
      <c r="E98" s="3" t="str">
        <v>慢 CPU 在超时后继续；槽容量 N。</v>
      </c>
      <c r="F98" s="3" t="str">
        <v>1. 超时请求
2. 持续提交新请求
3. 释放晚计算。</v>
      </c>
      <c r="G98" s="3" t="str">
        <v>实际计算完成前保留槽；活跃内核不超过 N，晚到的 score 不覆盖终态；最终回收；不能假定协程取消后线程也已停止。</v>
      </c>
      <c r="H98" s="17" t="str"/>
    </row>
    <row r="99" ht="60" customHeight="1">
      <c r="A99" s="3" t="str">
        <v>CrossEncoder 重排</v>
      </c>
      <c r="B99" s="15" t="str">
        <v>RC-RER-08</v>
      </c>
      <c r="C99" s="16" t="str">
        <v>P0</v>
      </c>
      <c r="D99" s="3" t="str">
        <v>重排和完整关系组接线</v>
      </c>
      <c r="E99" s="3" t="str">
        <v>完整关系组 G={M3,M5}，独立主候选 M1/M4；rerank 开启。</v>
      </c>
      <c r="F99" s="3" t="str">
        <v>1. 查看输入单元/guard
2. 合法改组成员排列
3. 比较组包。</v>
      </c>
      <c r="G99" s="3" t="str">
        <v>未授权成员不送模型，结果无半组；重排输入单位/补入成员参与/组排序规则未明确时标 blocked_requirement。</v>
      </c>
      <c r="H99" s="17" t="str"/>
    </row>
    <row r="100" ht="60" customHeight="1">
      <c r="A100" s="18" t="str">
        <v>权威完整正文</v>
      </c>
      <c r="B100" s="19" t="str">
        <v>RC-BODY-01</v>
      </c>
      <c r="C100" s="20" t="str">
        <v>P0</v>
      </c>
      <c r="D100" s="18" t="str">
        <v>中间块命中交完整正文</v>
      </c>
      <c r="E100" s="18" t="str">
        <v>多块长正文超过 Embedding 单输入限额，含 BEGIN/MIDDLE/END、中文/emoji/换行/否定；仅命中中间块，权威完整正文可读。</v>
      </c>
      <c r="F100" s="18" t="str">
        <v>1. 发 Recall
2. 比较 BEGIN/MIDDLE/END 与 Remember 正文 hash
3. 核对实际读取引用。</v>
      </c>
      <c r="G100" s="18" t="str">
        <v>交付精确版本的权威完整正文，BEGIN/MIDDLE/END 全部保留；不以命中块或块拼接替代全文。</v>
      </c>
      <c r="H100" s="21" t="str"/>
    </row>
    <row r="101" ht="55.5" customHeight="1">
      <c r="A101" s="3" t="str">
        <v>权威完整正文</v>
      </c>
      <c r="B101" s="15" t="str">
        <v>RC-BODY-02</v>
      </c>
      <c r="C101" s="16" t="str">
        <v>P0</v>
      </c>
      <c r="D101" s="3" t="str">
        <v>索引 payload 不得替权威正文</v>
      </c>
      <c r="E101" s="3" t="str">
        <v>Milvus payload 带伪正文，与 Remember 权威正文不同。</v>
      </c>
      <c r="F101" s="3" t="str">
        <v>1. 受控命中合法 Ref 但 payload 文本 canary 不同
2. 查看 Pack/模型输入。</v>
      </c>
      <c r="G101" s="3" t="str">
        <v>只使用 Remember 受控正文，payload 只作候选校验信息；伪正文不入 Pack 或 reranker；绑定 hash 错误按RC-BODY-04处理。</v>
      </c>
      <c r="H101" s="17" t="str">
        <f>HYPERLINK("#'Recall测试用例'!B"&amp;(MATCH("RC-BODY-04",$B$2:$B$179,0)+1),"RC-BODY-04")</f>
        <v>RC-BODY-04</v>
      </c>
    </row>
    <row r="102" ht="75" customHeight="1">
      <c r="A102" s="3" t="str">
        <v>权威完整正文</v>
      </c>
      <c r="B102" s="15" t="str">
        <v>RC-BODY-03</v>
      </c>
      <c r="C102" s="16" t="str">
        <v>P0</v>
      </c>
      <c r="D102" s="3" t="str">
        <v>搜索后更正：旧分数不得配新正文</v>
      </c>
      <c r="E102" s="3" t="str">
        <v>v1 搜索命中并核验后，在正文加载前暂停；可纠错至 v2。</v>
      </c>
      <c r="F102" s="3" t="str">
        <v>1. 旧候选核验后更正
2. 放行 load
3. 以 READ+DIAGNOSE 身份检查 Trace/job、资格、正文、事务和事件。</v>
      </c>
      <c r="G102" s="3" t="str">
        <v>不把旧分数配新正文；精确版本变化被识别，安全重组/失败按当前策略；不得返回 v1 或混合 v1/v2。</v>
      </c>
      <c r="H102" s="17" t="str"/>
    </row>
    <row r="103" ht="60" customHeight="1">
      <c r="A103" s="3" t="str">
        <v>权威完整正文</v>
      </c>
      <c r="B103" s="15" t="str">
        <v>RC-BODY-04</v>
      </c>
      <c r="C103" s="16" t="str">
        <v>P0</v>
      </c>
      <c r="D103" s="3" t="str">
        <v>正文指纹、版本或对象修订错配</v>
      </c>
      <c r="E103" s="3" t="str">
        <v>受控 Remember 返回正文 hash/Ref/version/object_revision 错一项。</v>
      </c>
      <c r="F103" s="3" t="str">
        <v>1. 逐个变体 load
2. 最终提交。</v>
      </c>
      <c r="G103" s="3" t="str">
        <v>发现完整性或绑定错误时拒绝该正文，不能正常入包；不能用旧 guard 为新正文的资格作证；错误可定位到 read/qualification 而非无命中。</v>
      </c>
      <c r="H103" s="17" t="str"/>
    </row>
    <row r="104" ht="55.5" customHeight="1">
      <c r="A104" s="3" t="str">
        <v>权威完整正文</v>
      </c>
      <c r="B104" s="15" t="str">
        <v>RC-BODY-05</v>
      </c>
      <c r="C104" s="16" t="str">
        <v>P0</v>
      </c>
      <c r="D104" s="3" t="str">
        <v>正文缺失、拒绝读取、损坏或超时</v>
      </c>
      <c r="E104" s="3" t="str">
        <v>Ceph 对象缺失/拒权限/超时/摘要错；元数据和向量仍 Ready。</v>
      </c>
      <c r="F104" s="3" t="str">
        <v>1. 分别注入
2. 检查来源覆盖/读取错误。</v>
      </c>
      <c r="G104" s="3" t="str">
        <v>存储/完整性故障不伪装正常空、无相关性或可用旧缓存；部分策略只允许交其他完整安全材料，且保留故障原因。</v>
      </c>
      <c r="H104" s="17" t="str"/>
    </row>
    <row r="105" ht="55.5" customHeight="1">
      <c r="A105" s="3" t="str">
        <v>权威完整正文</v>
      </c>
      <c r="B105" s="15" t="str">
        <v>RC-BODY-06</v>
      </c>
      <c r="C105" s="16" t="str">
        <v>P0</v>
      </c>
      <c r="D105" s="3" t="str">
        <v>默认无 TTL 与显式到期</v>
      </c>
      <c r="E105" s="3" t="str">
        <v>分别准备无 expires_at、显式尚未到期、显式已到期的记忆。</v>
      </c>
      <c r="F105" s="3" t="str">
        <v>1. 未设 TTL 跨测试窗口重查
2. 到期前后新/结果重取。</v>
      </c>
      <c r="G105" s="3" t="str">
        <v>无 expires_at 不自动到期；显式到期后阻断新 Recall/结果重取；等号/时钟精度/ε 未明确时标 blocked_requirement。</v>
      </c>
      <c r="H105" s="17" t="str"/>
    </row>
    <row r="106" ht="60" customHeight="1">
      <c r="A106" s="3" t="str">
        <v>权威完整正文</v>
      </c>
      <c r="B106" s="15" t="str">
        <v>RC-BODY-07</v>
      </c>
      <c r="C106" s="16" t="str">
        <v>P0</v>
      </c>
      <c r="D106" s="3" t="str">
        <v>逻辑删除撤源先于物理清理</v>
      </c>
      <c r="E106" s="3" t="str">
        <v>逻辑 delete/source revoke 已确认，向量/Redis 物理残留。</v>
      </c>
      <c r="F106" s="3" t="str">
        <v>1. 新 Recall
2. GET 原已保存 Pack
3. 检查 Remember 当前资格。</v>
      </c>
      <c r="G106" s="3" t="str">
        <v>删除/撤源先阻断，新请求和已保存结果均不交残留正文；不等待 Milvus 清理才能生效；已 read 真实事实可保留。</v>
      </c>
      <c r="H106" s="17" t="str"/>
    </row>
    <row r="107" ht="60" customHeight="1">
      <c r="A107" s="3" t="str">
        <v>权威完整正文</v>
      </c>
      <c r="B107" s="15" t="str">
        <v>RC-BODY-08</v>
      </c>
      <c r="C107" s="16" t="str">
        <v>P0</v>
      </c>
      <c r="D107" s="3" t="str">
        <v>读取成功后下游失败的事实记录</v>
      </c>
      <c r="E107" s="3" t="str">
        <v>正文已读取成功；可在 rerank、guard、提交阶段注入失败。</v>
      </c>
      <c r="F107" s="3" t="str">
        <v>1. 确认 read 证据
2. 注入后续失败
3. 检查事件。</v>
      </c>
      <c r="G107" s="3" t="str">
        <v>保留已实际成功的 read，不因后续失败抹去该事实。不能产生成功 packed 或交付错误正文；read 与 packed 不重复计热。</v>
      </c>
      <c r="H107" s="17" t="str"/>
    </row>
    <row r="108" ht="60" customHeight="1">
      <c r="A108" s="18" t="str">
        <v>完整关系组</v>
      </c>
      <c r="B108" s="19" t="str">
        <v>RC-REL-01</v>
      </c>
      <c r="C108" s="20" t="str">
        <v>P0</v>
      </c>
      <c r="D108" s="18" t="str">
        <v>关系补全未命中成员</v>
      </c>
      <c r="E108" s="18" t="str">
        <v>完整组 G={M3,M5}，关系 r1；M3 命中、M5 未命中；另有独立 M1；预算足够。</v>
      </c>
      <c r="F108" s="18" t="str">
        <v>1. 核验 M3 及关系 r1
2. 补读 M5
3. 组包，核对成员和计数。</v>
      </c>
      <c r="G108" s="18" t="str">
        <v>G 包含全部必需有效成员/条件/来源；补入M5不伪造命中分数、不多占独立主候选 K；全部成员分别授权。</v>
      </c>
      <c r="H108" s="21" t="str"/>
    </row>
    <row r="109" ht="60" customHeight="1">
      <c r="A109" s="3" t="str">
        <v>完整关系组</v>
      </c>
      <c r="B109" s="15" t="str">
        <v>RC-REL-02</v>
      </c>
      <c r="C109" s="16" t="str">
        <v>P0</v>
      </c>
      <c r="D109" s="3" t="str">
        <v>缺组成员且有其他安全内容</v>
      </c>
      <c r="E109" s="3" t="str">
        <v>G={M3,M5}；分别使 M5 无权限、正文缺失、资格失效；另有完整可读独立记忆。</v>
      </c>
      <c r="F109" s="3" t="str">
        <v>1. 逐缺失原因
2. Recall
3. 查看组与全请求终态。</v>
      </c>
      <c r="G109" s="3" t="str">
        <v>整组跳过，无半组或受限成员泄露；其他完整可信内容可交；无法核验/读取故障保留覆盖原因；公开终态/错误映射未明确时标 blocked_requirement。</v>
      </c>
      <c r="H109" s="17" t="str"/>
    </row>
    <row r="110" ht="60" customHeight="1">
      <c r="A110" s="3" t="str">
        <v>完整关系组</v>
      </c>
      <c r="B110" s="15" t="str">
        <v>RC-REL-03</v>
      </c>
      <c r="C110" s="16" t="str">
        <v>P0</v>
      </c>
      <c r="D110" s="3" t="str">
        <v>唯一必需组缺成员</v>
      </c>
      <c r="E110" s="3" t="str">
        <v>唯一必需组 G={M3,M5}，M5 缺失；无其他可交材料。</v>
      </c>
      <c r="F110" s="3" t="str">
        <v>1. 使 M5 缺失或失效并确认回执
2. Recall
3. 检查整个组与终态。</v>
      </c>
      <c r="G110" s="3" t="str">
        <v>整个缺成员组不可交，不单独交命中成员；排除原因/覆盖可查；全部组被排除的终态未明确时标 blocked_requirement。</v>
      </c>
      <c r="H110" s="17" t="str"/>
    </row>
    <row r="111" ht="60" customHeight="1">
      <c r="A111" s="3" t="str">
        <v>完整关系组</v>
      </c>
      <c r="B111" s="15" t="str">
        <v>RC-REL-04</v>
      </c>
      <c r="C111" s="16" t="str">
        <v>P1</v>
      </c>
      <c r="D111" s="3" t="str">
        <v>多个主候选共享同组</v>
      </c>
      <c r="E111" s="3" t="str">
        <v>两个主候选 M3/M5 均命中同一完整组 G={M3,M5}。</v>
      </c>
      <c r="F111" s="3" t="str">
        <v>1. 都命中
2. relations/组包
3. 数正文与 Ref。</v>
      </c>
      <c r="G111" s="3" t="str">
        <v>同一组只输出一次，成员正文不重复。分别记录主候选数与关系补全数；组排序和同分规则由当前策略确认。</v>
      </c>
      <c r="H111" s="17" t="str"/>
    </row>
    <row r="112" ht="55.5" customHeight="1">
      <c r="A112" s="3" t="str">
        <v>完整关系组</v>
      </c>
      <c r="B112" s="15" t="str">
        <v>RC-REL-05</v>
      </c>
      <c r="C112" s="16" t="str">
        <v>P0</v>
      </c>
      <c r="D112" s="3" t="str">
        <v>关系快照缺项、错配或修订变化</v>
      </c>
      <c r="E112" s="3" t="str">
        <v>Remember 关系快照 guards 缺/重复/错 Ref，relations_revision 与正文读取后不符。</v>
      </c>
      <c r="F112" s="3" t="str">
        <v>1. 逐个非法快照
2. plan/commit。</v>
      </c>
      <c r="G112" s="3" t="str">
        <v>无法证明完整快照则不交相关材料；必须核对对象、关系、授权修订；仅有旧 GuardStamp 不构成永久授权。</v>
      </c>
      <c r="H112" s="17" t="str"/>
    </row>
    <row r="113" ht="60" customHeight="1">
      <c r="A113" s="3" t="str">
        <v>完整关系组</v>
      </c>
      <c r="B113" s="15" t="str">
        <v>RC-REL-06</v>
      </c>
      <c r="C113" s="16" t="str">
        <v>P0</v>
      </c>
      <c r="D113" s="3" t="str">
        <v>组包后关系新增成员</v>
      </c>
      <c r="E113" s="3" t="str">
        <v>组包完成、final_guard 前暂停；G={M3,M5} 可新增必需 M6；分别使 M6 导致超预算、无权限。</v>
      </c>
      <c r="F113" s="3" t="str">
        <v>1. plan 含 M3/M5
2. 发布 r2 加入 M6
3. 放行 final_guard。</v>
      </c>
      <c r="G113" s="3" t="str">
        <v>发现关系修订，不只验证旧成员仍存在；原 G 不得按旧预算交付；重组或拒绝按当前规则，不能交半组。</v>
      </c>
      <c r="H113" s="17" t="str"/>
    </row>
    <row r="114" ht="60" customHeight="1">
      <c r="A114" s="3" t="str">
        <v>完整关系组</v>
      </c>
      <c r="B114" s="15" t="str">
        <v>RC-REL-07</v>
      </c>
      <c r="C114" s="16" t="str">
        <v>P1</v>
      </c>
      <c r="D114" s="3" t="str">
        <v>重叠、歧义或循环关系</v>
      </c>
      <c r="E114" s="3" t="str">
        <v>重叠/歧义冲突组、循环关系；提供方说明必需集合。</v>
      </c>
      <c r="F114" s="3" t="str">
        <v>1. 构造受控关系
2. plan
3. 检查停止与输出。</v>
      </c>
      <c r="G114" s="3" t="str">
        <v>歧义重叠组不拆分交付，不无限递归；成员数/深度上限未明确时标 blocked_requirement。</v>
      </c>
      <c r="H114" s="17" t="str"/>
    </row>
    <row r="115" ht="55.5" customHeight="1">
      <c r="A115" s="18" t="str">
        <v>ContextPack 预算</v>
      </c>
      <c r="B115" s="19" t="str">
        <v>RC-BUD-01</v>
      </c>
      <c r="C115" s="20" t="str">
        <v>P0</v>
      </c>
      <c r="D115" s="18" t="str">
        <v>整包预算 T-1、T、T+1</v>
      </c>
      <c r="E115" s="18" t="str">
        <v>单完整组，固定 tokenizer 实测整体渲染 token 数 T（含引用/来源/关系/分隔符）；T-1/T/T+1 均为合法预算。</v>
      </c>
      <c r="F115" s="18" t="str">
        <v>1. 逐预算新请求
2. 独立复算 rendered_context tokens。</v>
      </c>
      <c r="G115" s="18" t="str">
        <v>T/T+1 装入完整组；T-1 为预算不足，不为空、不截断；最终整包按实际渲染复算。</v>
      </c>
      <c r="H115" s="21" t="str"/>
    </row>
    <row r="116" ht="60" customHeight="1">
      <c r="A116" s="3" t="str">
        <v>ContextPack 预算</v>
      </c>
      <c r="B116" s="15" t="str">
        <v>RC-BUD-02</v>
      </c>
      <c r="C116" s="16" t="str">
        <v>P0</v>
      </c>
      <c r="D116" s="3" t="str">
        <v>首组超长继续后组</v>
      </c>
      <c r="E116" s="3" t="str">
        <v>排名首组 H 超预算，后组 S 可装；来源均正常。</v>
      </c>
      <c r="F116" s="3" t="str">
        <v>1. 固定候选顺序
2. 执行
3. 检查 budget 排除与 Pack。</v>
      </c>
      <c r="G116" s="3" t="str">
        <v>跳过超预算的 H，继续尝试并交付完整 S，不能遇到首组超长就 break。预算排除不等于来源故障，不因此单独标为 degraded。</v>
      </c>
      <c r="H116" s="17" t="str"/>
    </row>
    <row r="117" ht="55.5" customHeight="1">
      <c r="A117" s="3" t="str">
        <v>ContextPack 预算</v>
      </c>
      <c r="B117" s="15" t="str">
        <v>RC-BUD-03</v>
      </c>
      <c r="C117" s="16" t="str">
        <v>P0</v>
      </c>
      <c r="D117" s="3" t="str">
        <v>全部完整组装不下</v>
      </c>
      <c r="E117" s="3" t="str">
        <v>所有有效完整组均超预算。</v>
      </c>
      <c r="F117" s="3" t="str">
        <v>1. 确认候选/正文真实可用
2. 执行。</v>
      </c>
      <c r="G117" s="3" t="str">
        <v>返回 BUDGET_TOO_SMALL 的业务含义，不能返回正常 Empty 或截断后的内容。分别定位“没有匹配”“内容装不下”和“执行时间耗尽”。</v>
      </c>
      <c r="H117" s="17" t="str"/>
    </row>
    <row r="118" ht="60" customHeight="1">
      <c r="A118" s="3" t="str">
        <v>ContextPack 预算</v>
      </c>
      <c r="B118" s="15" t="str">
        <v>RC-BUD-04</v>
      </c>
      <c r="C118" s="16" t="str">
        <v>P0</v>
      </c>
      <c r="D118" s="3" t="str">
        <v>引用分隔符和来源开销</v>
      </c>
      <c r="E118" s="3" t="str">
        <v>正文自身能装，但加引用序号/来源/分隔符后超限。</v>
      </c>
      <c r="F118" s="3" t="str">
        <v>1. 将预算设正文 token 数
2. 组包
3. 按整个实际文本复算。</v>
      </c>
      <c r="G118" s="3" t="str">
        <v>引用、来源和分隔符均计入预算，不能只数正文 token。最终整包超限时不能成功；模板和 tokenizer 固定，引用可追溯。</v>
      </c>
      <c r="H118" s="17" t="str"/>
    </row>
    <row r="119" ht="55.5" customHeight="1">
      <c r="A119" s="3" t="str">
        <v>ContextPack 预算</v>
      </c>
      <c r="B119" s="15" t="str">
        <v>RC-BUD-05</v>
      </c>
      <c r="C119" s="16" t="str">
        <v>P0</v>
      </c>
      <c r="D119" s="3" t="str">
        <v>完整冲突组预算不拆分</v>
      </c>
      <c r="E119" s="3" t="str">
        <v>G={M3,M5} 的单成员装得下，含关系说明的完整组装不下；后续独立组 S 可装。</v>
      </c>
      <c r="F119" s="3" t="str">
        <v>1. 按实测预算
2. 组包。</v>
      </c>
      <c r="G119" s="3" t="str">
        <v>完整组整体预算排除，不能拆成员或删关系说明来装入；继续尝试后续独立完整组，后组装得下应交付；预算排除与资格/正文故障分别记录。</v>
      </c>
      <c r="H119" s="17" t="str"/>
    </row>
    <row r="120" ht="55.5" customHeight="1">
      <c r="A120" s="3" t="str">
        <v>ContextPack 预算</v>
      </c>
      <c r="B120" s="15" t="str">
        <v>RC-BUD-06</v>
      </c>
      <c r="C120" s="16" t="str">
        <v>P0</v>
      </c>
      <c r="D120" s="3" t="str">
        <v>Unicode 按 token 不按字节</v>
      </c>
      <c r="E120" s="3" t="str">
        <v>中英文/emoji/组合字/换行正文，字节数差异明显。</v>
      </c>
      <c r="F120" s="3" t="str">
        <v>1. current tokenizer 复算
2. 与字符/UTF8 字节数对照。</v>
      </c>
      <c r="G120" s="3" t="str">
        <v>整包计数符合当前 tokenizer，不按字节或字符数计量。</v>
      </c>
      <c r="H120" s="17" t="str"/>
    </row>
    <row r="121" ht="55.5" customHeight="1">
      <c r="A121" s="3" t="str">
        <v>ContextPack 预算</v>
      </c>
      <c r="B121" s="15" t="str">
        <v>RC-BUD-07</v>
      </c>
      <c r="C121" s="16" t="str">
        <v>P1</v>
      </c>
      <c r="D121" s="3" t="str">
        <v>Embedding 与包 tokenizer 隔离</v>
      </c>
      <c r="E121" s="3" t="str">
        <v>o200k_base 与合法本地 HF tokenizer 配置分别启用。</v>
      </c>
      <c r="F121" s="3" t="str">
        <v>1. 独立目标/新请求按各 tokenizer
2. 核对边界。</v>
      </c>
      <c r="G121" s="3" t="str">
        <v>每次请求使用固定 ContextPack 计量配置；不能将 Embedding tokenizer 代替包 tokenizer；对每套实际配置独立复算最终整包边界。</v>
      </c>
      <c r="H121" s="17" t="str"/>
    </row>
    <row r="122" ht="55.5" customHeight="1">
      <c r="A122" s="3" t="str">
        <v>ContextPack 预算</v>
      </c>
      <c r="B122" s="15" t="str">
        <v>RC-BUD-08</v>
      </c>
      <c r="C122" s="16" t="str">
        <v>P1</v>
      </c>
      <c r="D122" s="3" t="str">
        <v>tokenizer 缺失不字节兜底</v>
      </c>
      <c r="E122" s="3" t="str">
        <v>tokenizer 文件缺失/损坏/未安装，encoding 未知。</v>
      </c>
      <c r="F122" s="3" t="str">
        <v>1. 各独立配置启动/Recall
2. 健康与错误。</v>
      </c>
      <c r="G122" s="3" t="str">
        <v>明确报告预算计量能力不可用，不能改按字节计量，也不能报告 tokenizer 可用。未经实际计数，不能发布超限包。</v>
      </c>
      <c r="H122" s="17" t="str"/>
    </row>
    <row r="123" ht="60" customHeight="1">
      <c r="A123" s="3" t="str">
        <v>ContextPack 预算</v>
      </c>
      <c r="B123" s="15" t="str">
        <v>RC-BUD-09</v>
      </c>
      <c r="C123" s="16" t="str">
        <v>P1</v>
      </c>
      <c r="D123" s="3" t="str">
        <v>整包计数不逐段相加</v>
      </c>
      <c r="E123" s="3" t="str">
        <v>逐段 token 数之和≠串联整体计数的已验证样本。</v>
      </c>
      <c r="F123" s="3" t="str">
        <v>1. 记录 A/B 单段与组合计数
2. 把预算放差额边界
3. 执行。</v>
      </c>
      <c r="G123" s="3" t="str">
        <v>使用整个临时/最终 Pack 计数而非简单相加；既不能发布超限 Pack，也不能因错误合计而跳过实际装得下的组。</v>
      </c>
      <c r="H123" s="17" t="str"/>
    </row>
    <row r="124" ht="60" customHeight="1">
      <c r="A124" s="3" t="str">
        <v>ContextPack 预算</v>
      </c>
      <c r="B124" s="15" t="str">
        <v>RC-BUD-10</v>
      </c>
      <c r="C124" s="16" t="str">
        <v>P1</v>
      </c>
      <c r="D124" s="3" t="str">
        <v>最终条数与关系补入边界</v>
      </c>
      <c r="E124" s="3" t="str">
        <v>确认最终条数上限 M、关系成员计数规则；准备足够合格短记忆、多块记忆及完整关系组；预算足够。</v>
      </c>
      <c r="F124" s="3" t="str">
        <v>1. 分别准备 0/1/M-1/M/M+1 个短独立记忆
2. 另准备完整关系组令补入成员跨过计数边界
3. 新请求组包。</v>
      </c>
      <c r="G124" s="3" t="str">
        <v>最终条数/关系成员计数符合策略，组完整且不超预算；M/计数规则未明确时标 blocked_requirement。</v>
      </c>
      <c r="H124" s="17" t="str"/>
    </row>
    <row r="125" ht="55.5" customHeight="1">
      <c r="A125" s="3" t="str">
        <v>ContextPack 预算</v>
      </c>
      <c r="B125" s="15" t="str">
        <v>RC-BUD-11</v>
      </c>
      <c r="C125" s="16" t="str">
        <v>P1</v>
      </c>
      <c r="D125" s="3" t="str">
        <v>包预算与下游窗口分配</v>
      </c>
      <c r="E125" s="3" t="str">
        <v>Caller 另有 system/query/回答预留；提供 ContextPack 专用预算 B。</v>
      </c>
      <c r="F125" s="3" t="str">
        <v>1. 以 ContextPack 专用预算 B 请求
2. 复算最终整包 token 数。</v>
      </c>
      <c r="G125" s="3" t="str">
        <v>整包 token 数≤B；不将调用方 system/query/回答预留或整个模型窗口计入 Pack 额度。</v>
      </c>
      <c r="H125" s="17" t="str"/>
    </row>
    <row r="126" ht="60" customHeight="1">
      <c r="A126" s="18" t="str">
        <v>已保存结果与 Record 重取</v>
      </c>
      <c r="B126" s="19" t="str">
        <v>RC-RES-01</v>
      </c>
      <c r="C126" s="20" t="str">
        <v>P0</v>
      </c>
      <c r="D126" s="18" t="str">
        <v>有效原包重取不重新搜索</v>
      </c>
      <c r="E126" s="18" t="str">
        <v>原 Pack 已持久化，全部成员当前有效；保存原文本/Ref/version/hash；可观察 Embedding/搜索调用次数。</v>
      </c>
      <c r="F126" s="18" t="str">
        <v>1. GET record
2. GET result 两次
3. 比较原文本/Ref/摘要。</v>
      </c>
      <c r="G126" s="18" t="str">
        <v>返回原 Pack，经现权限复验；不重新 Embedding/向量检索、不随机改顺序/正文；Record 查询不产生新 Recall。</v>
      </c>
      <c r="H126" s="21" t="str"/>
    </row>
    <row r="127" ht="60" customHeight="1">
      <c r="A127" s="3" t="str">
        <v>已保存结果与 Record 重取</v>
      </c>
      <c r="B127" s="15" t="str">
        <v>RC-RES-02</v>
      </c>
      <c r="C127" s="16" t="str">
        <v>P0</v>
      </c>
      <c r="D127" s="3" t="str">
        <v>纠错后旧包失效不换正文</v>
      </c>
      <c r="E127" s="3" t="str">
        <v>原 Pack 含两条记忆；其中一条由 v1 纠错为 v2，保存原文本/Ref/version/hash。</v>
      </c>
      <c r="F127" s="3" t="str">
        <v>1. 纠错确认
2. GET 原 result
3. 新 Recall 对照。</v>
      </c>
      <c r="G127" s="3" t="str">
        <v>原结果 RESULT_INVALIDATED 语义/新请求提示；不能换 v2 正文或裁掉 v1 仍称原包有效；新 Recall 可按当前 v2 独立执行。</v>
      </c>
      <c r="H127" s="17" t="str"/>
    </row>
    <row r="128" ht="55.5" customHeight="1">
      <c r="A128" s="3" t="str">
        <v>已保存结果与 Record 重取</v>
      </c>
      <c r="B128" s="15" t="str">
        <v>RC-RES-03</v>
      </c>
      <c r="C128" s="16" t="str">
        <v>P0</v>
      </c>
      <c r="D128" s="3" t="str">
        <v>任一成员失效不得裁剪</v>
      </c>
      <c r="E128" s="3" t="str">
        <v>原 Pack 含两条；分别删除、显式到期、撤来源、撤共享其中一条。</v>
      </c>
      <c r="F128" s="3" t="str">
        <v>1. 逐项提交单一失效变更并等待权威回执
2. GET 原 result。</v>
      </c>
      <c r="G128" s="3" t="str">
        <v>任一必需项失效阻断整个原包；不能裁去失效条目后仍返回成功、不泄露失效正文；原 Record 中保存的事实不意味着仍有正文读取权限。</v>
      </c>
      <c r="H128" s="17" t="str"/>
    </row>
    <row r="129" ht="55.5" customHeight="1">
      <c r="A129" s="3" t="str">
        <v>已保存结果与 Record 重取</v>
      </c>
      <c r="B129" s="15" t="str">
        <v>RC-RES-04</v>
      </c>
      <c r="C129" s="16" t="str">
        <v>P0</v>
      </c>
      <c r="D129" s="3" t="str">
        <v>关系修订后原包复核</v>
      </c>
      <c r="E129" s="3" t="str">
        <v>原 Pack 包含 G={M3,M5}、关系 r1；可发布 r2 新增必需成员或修改关联。</v>
      </c>
      <c r="F129" s="3" t="str">
        <v>1. 改变关系
2. GET 原 result。</v>
      </c>
      <c r="G129" s="3" t="str">
        <v>复核全部关系/成员与修订，旧组完整性不能靠旧快照延续；不重搜/补成员改写成“原结果”。</v>
      </c>
      <c r="H129" s="17" t="str"/>
    </row>
    <row r="130" ht="60" customHeight="1">
      <c r="A130" s="3" t="str">
        <v>已保存结果与 Record 重取</v>
      </c>
      <c r="B130" s="15" t="str">
        <v>RC-RES-05</v>
      </c>
      <c r="C130" s="16" t="str">
        <v>P0</v>
      </c>
      <c r="D130" s="3" t="str">
        <v>结果重取时校验当前身份 epoch</v>
      </c>
      <c r="E130" s="3" t="str">
        <v>已保存成功原 Pack，留存原文本、Ref/version/hash、来源、关系 revision 和 epoch；auth_epoch/tenant 停用变化。</v>
      </c>
      <c r="F130" s="3" t="str">
        <v>1. 使用旧凭据 GET
2. 新 epoch 但对象无权 GET。</v>
      </c>
      <c r="G130" s="3" t="str">
        <v>原发起人不永久拥有结果正文的读取权。重取时同时复验当前身份和对象资格，不能只校验 recall.owner_id。</v>
      </c>
      <c r="H130" s="17" t="str"/>
    </row>
    <row r="131" ht="60" customHeight="1">
      <c r="A131" s="3" t="str">
        <v>已保存结果与 Record 重取</v>
      </c>
      <c r="B131" s="15" t="str">
        <v>RC-RES-06</v>
      </c>
      <c r="C131" s="16" t="str">
        <v>P0</v>
      </c>
      <c r="D131" s="3" t="str">
        <v>绑定稳定时，P3 重启后恢复原包</v>
      </c>
      <c r="E131" s="3" t="str">
        <v>已保存成功原 Pack，留存原文本、Ref/version/hash、来源、关系 revision 和 epoch；稳定配置和依赖，只重启本例 P3。</v>
      </c>
      <c r="F131" s="3" t="str">
        <v>1. 保存原 ID/Pack hash
2. 重启
3. 原 Record/result 与新 Recall 各测。</v>
      </c>
      <c r="G131" s="3" t="str">
        <v>重启后原 Pack 恢复且重新授权，失败 job 保持原终态；新 Recall 独立成功，原结果不代替新请求。</v>
      </c>
      <c r="H131" s="17" t="str"/>
    </row>
    <row r="132" ht="60" customHeight="1">
      <c r="A132" s="3" t="str">
        <v>已保存结果与 Record 重取</v>
      </c>
      <c r="B132" s="15" t="str">
        <v>RC-RES-07</v>
      </c>
      <c r="C132" s="16" t="str">
        <v>P1</v>
      </c>
      <c r="D132" s="3" t="str">
        <v>在途、失败或未知状态下读取结果</v>
      </c>
      <c r="E132" s="3" t="str">
        <v>原 Recall 仍 running/failed/未知；保留原 job。</v>
      </c>
      <c r="F132" s="3" t="str">
        <v>1. 各状态 GET Record/result
2. 直到真实终态。</v>
      </c>
      <c r="G132" s="3" t="str">
        <v>running 不返回未提交 Pack；failed 不以其他成功包替代；未知状态不能解释为失败或未执行。具体 GET 业务码以目标契约为准，不预设 404/202。</v>
      </c>
      <c r="H132" s="17" t="str"/>
    </row>
    <row r="133" ht="60" customHeight="1">
      <c r="A133" s="3" t="str">
        <v>已保存结果与 Record 重取</v>
      </c>
      <c r="B133" s="15" t="str">
        <v>RC-RES-08</v>
      </c>
      <c r="C133" s="16" t="str">
        <v>P0</v>
      </c>
      <c r="D133" s="3" t="str">
        <v>结果重取并发撤权线性化</v>
      </c>
      <c r="E133" s="3" t="str">
        <v>原 Pack 当前有效；GET result 可暂停在资格复验和发送之间。</v>
      </c>
      <c r="F133" s="3" t="str">
        <v>1. 开始 GET 并确认守卫时点
2. 撤权
3. 放行。</v>
      </c>
      <c r="G133" s="3" t="str">
        <v>按确认的 guard/条件交付协议处理并发撤权，不泄露应阻断正文；GET 线性化点未明确时标 blocked_requirement。</v>
      </c>
      <c r="H133" s="17" t="str"/>
    </row>
    <row r="134" ht="60" customHeight="1">
      <c r="A134" s="18" t="str">
        <v>最终提交与持久一致性</v>
      </c>
      <c r="B134" s="19" t="str">
        <v>RC-TX-01</v>
      </c>
      <c r="C134" s="20" t="str">
        <v>P0</v>
      </c>
      <c r="D134" s="18" t="str">
        <v>结果、终态与 packed 原子提交</v>
      </c>
      <c r="E134" s="18" t="str">
        <v>完整 plan，guard 有效；可观察 guard 后、事务提交前；记录原 operation。</v>
      </c>
      <c r="F134" s="18" t="str">
        <v>1. 正常提交
2. 读取 Pack/Record/packed Outbox 与原 operation。</v>
      </c>
      <c r="G134" s="18" t="str">
        <v>实际渲染结果、终态及 packed 条件原子提交，不能出现成功但无包，或有包却没有 packed 意图的状态。事务内不调用网络 Provider，也不运行 CPU 推理。</v>
      </c>
      <c r="H134" s="21" t="str"/>
    </row>
    <row r="135" ht="90" customHeight="1">
      <c r="A135" s="3" t="str">
        <v>最终提交与持久一致性</v>
      </c>
      <c r="B135" s="15" t="str">
        <v>RC-TX-02</v>
      </c>
      <c r="C135" s="16" t="str">
        <v>P0</v>
      </c>
      <c r="D135" s="3" t="str">
        <v>最终 guard 与提交间资格变化</v>
      </c>
      <c r="E135" s="3" t="str">
        <v>Working 记忆 Ready；Recall 可在 guard 后、事务提交前暂停；另一客户端可撤权或删除记忆。</v>
      </c>
      <c r="F135" s="3" t="str">
        <v>1. 在 guard 后、事务提交前暂停，记录 revision/auth_epoch 和锁
2. 独立客户端分别撤权、删除并记录权威提交时刻
3. 分别执行资格变更先提交、Recall 先提交的顺序，保留锁阻塞证据
4. 核对 Pack/终态/Outbox 及变更后的 GET result。</v>
      </c>
      <c r="G135" s="3" t="str">
        <v>资格变更先提交时阻断旧 Pack；Recall 先提交时保留事实，变更后重取不泄露失效正文；结果/终态/Outbox 条件原子提交。</v>
      </c>
      <c r="H135" s="17" t="str"/>
    </row>
    <row r="136" ht="55.5" customHeight="1">
      <c r="A136" s="3" t="str">
        <v>最终提交与持久一致性</v>
      </c>
      <c r="B136" s="15" t="str">
        <v>RC-TX-03</v>
      </c>
      <c r="C136" s="16" t="str">
        <v>P0</v>
      </c>
      <c r="D136" s="3" t="str">
        <v>内部计划与原请求签名绑定</v>
      </c>
      <c r="E136" s="3" t="str">
        <v>plan 内部受控副本：改主体、ID、query、selection、sources、预算、输入签名、scope、deadline 之一。</v>
      </c>
      <c r="F136" s="3" t="str">
        <v>1. 逐字段篡改受控计划
2. commit。</v>
      </c>
      <c r="G136" s="3" t="str">
        <v>与 Recall 接口层原始请求比对，全部绑定条件复验；篡改不能被当公开新输入或提交他人 Pack；原请求/结果不被改写。</v>
      </c>
      <c r="H136" s="17" t="str"/>
    </row>
    <row r="137" ht="60" customHeight="1">
      <c r="A137" s="3" t="str">
        <v>最终提交与持久一致性</v>
      </c>
      <c r="B137" s="15" t="str">
        <v>RC-TX-04</v>
      </c>
      <c r="C137" s="16" t="str">
        <v>P0</v>
      </c>
      <c r="D137" s="3" t="str">
        <v>并发 commit 及旧修订拒绝</v>
      </c>
      <c r="E137" s="3" t="str">
        <v>两 commit worker 持同 plan/revision；另有已完成请求。</v>
      </c>
      <c r="F137" s="3" t="str">
        <v>1. 两 worker 同步到 guard 后、事务提交前
2. 并发 commit
3. 旧 worker 再提交。</v>
      </c>
      <c r="G137" s="3" t="str">
        <v>通过 Recall 修订条件保证结果与 packed 唯一。拒绝旧 revision 提交，不能重复完成或覆盖原包；合法重试可取得同一原事实。</v>
      </c>
      <c r="H137" s="17" t="str"/>
    </row>
    <row r="138" ht="60" customHeight="1">
      <c r="A138" s="3" t="str">
        <v>最终提交与持久一致性</v>
      </c>
      <c r="B138" s="15" t="str">
        <v>RC-TX-05</v>
      </c>
      <c r="C138" s="16" t="str">
        <v>P0</v>
      </c>
      <c r="D138" s="3" t="str">
        <v>事务中途失败整包回滚</v>
      </c>
      <c r="E138" s="3" t="str">
        <v>UoW 写 Pack/终态/Outbox 任一点异常，提交前。</v>
      </c>
      <c r="F138" s="3" t="str">
        <v>1. 各点注入 PG 失败
2. 重启/查询原 ID
3. 检查三类事实。</v>
      </c>
      <c r="G138" s="3" t="str">
        <v>整事务没有部分成功；已经独立发生的 read 不抹去；恢复沿原意图，不能新 ID 制造重复副作用。</v>
      </c>
      <c r="H138" s="17" t="str"/>
    </row>
    <row r="139" ht="60" customHeight="1">
      <c r="A139" s="3" t="str">
        <v>最终提交与持久一致性</v>
      </c>
      <c r="B139" s="15" t="str">
        <v>RC-TX-06</v>
      </c>
      <c r="C139" s="16" t="str">
        <v>P0</v>
      </c>
      <c r="D139" s="3" t="str">
        <v>DB 提交成功 ACK 丢失</v>
      </c>
      <c r="E139" s="3" t="str">
        <v>DB 实际 commit 成功但调用方丢 ACK/进程退出。</v>
      </c>
      <c r="F139" s="3" t="str">
        <v>1. 提交响应隔离丢失
2. 查询原 job/Pack/outbox
3. 恢复原执行。</v>
      </c>
      <c r="G139" s="3" t="str">
        <v>不能因 timeout 推断事务未提交，也不能重复生成 packed。证据确认前保留未知状态；已 commit 的事实不能回滚，也不能换新 ID 重做。</v>
      </c>
      <c r="H139" s="17" t="str"/>
    </row>
    <row r="140" ht="60" customHeight="1">
      <c r="A140" s="3" t="str">
        <v>最终提交与持久一致性</v>
      </c>
      <c r="B140" s="15" t="str">
        <v>RC-TX-07</v>
      </c>
      <c r="C140" s="16" t="str">
        <v>P1</v>
      </c>
      <c r="D140" s="3" t="str">
        <v>最终 guard 返回全成员证据</v>
      </c>
      <c r="E140" s="3" t="str">
        <v>Remember 返回最终 guards 缺项/重复/错 epoch/relation_revision 或发布 manifest。</v>
      </c>
      <c r="F140" s="3" t="str">
        <v>1. 逐非法最终返回
2. commit
3. 查询原 Record。</v>
      </c>
      <c r="G140" s="3" t="str">
        <v>最终守卫证据须覆盖全部成员，并与长期发布清单匹配。拒绝缺项或错配的证据，不能只验证已返回项而遗漏未返回成员。</v>
      </c>
      <c r="H140" s="17" t="str"/>
    </row>
    <row r="141" ht="60" customHeight="1">
      <c r="A141" s="3" t="str">
        <v>最终提交与持久一致性</v>
      </c>
      <c r="B141" s="15" t="str">
        <v>RC-TX-08</v>
      </c>
      <c r="C141" s="16" t="str">
        <v>P0</v>
      </c>
      <c r="D141" s="3" t="str">
        <v>守卫请求跨租户重复多版本</v>
      </c>
      <c r="E141" s="3" t="str">
        <v>内部 ContextGuardRequest 含重复 Ref、跨 tenant、同 ID 多 version；另有长期成员 manifest 缺项。</v>
      </c>
      <c r="F141" s="3" t="str">
        <v>1. 严格控制面逐项构造
2. 交 Recall 提交
3. 查询结果与事件。</v>
      </c>
      <c r="G141" s="3" t="str">
        <v>请求约束与全部成员清单均验证，不能只依单成员 allowed；非法守卫请求不成功提交，不制造跨 tenant 或同记忆两版本包。</v>
      </c>
      <c r="H141" s="17" t="str"/>
    </row>
    <row r="142" ht="75" customHeight="1">
      <c r="A142" s="18" t="str">
        <v>Temporal、HTTP 观察与恢复</v>
      </c>
      <c r="B142" s="19" t="str">
        <v>RC-ASY-01</v>
      </c>
      <c r="C142" s="20" t="str">
        <v>P0</v>
      </c>
      <c r="D142" s="18" t="str">
        <v>HTTP 等待与原 job 异步观察</v>
      </c>
      <c r="E142" s="18" t="str">
        <v>Working 咖啡记忆“用户喝咖啡不加糖。”及茶记忆“用户喜欢乌龙茶。”，v1/g1 Ready；http_wait 小于正常 Workflow 收敛时间。</v>
      </c>
      <c r="F142" s="18" t="str">
        <v>1. 提交
2. 收到 400 REQUEST_IN_PROGRESS，保存 Location/X-P3-Job-ID
3. 查询原 /p3/operations/{job_id} 至终态。</v>
      </c>
      <c r="G142" s="18" t="str">
        <v>原 job 可查询，HTTP 等待结束不取消 Workflow/不表示失败；终态与结果以持久事实为准；无新 operation。</v>
      </c>
      <c r="H142" s="21" t="str"/>
    </row>
    <row r="143" ht="60" customHeight="1">
      <c r="A143" s="3" t="str">
        <v>Temporal、HTTP 观察与恢复</v>
      </c>
      <c r="B143" s="15" t="str">
        <v>RC-ASY-02</v>
      </c>
      <c r="C143" s="16" t="str">
        <v>P0</v>
      </c>
      <c r="D143" s="3" t="str">
        <v>客户端断开不取消 Workflow</v>
      </c>
      <c r="E143" s="3" t="str">
        <v>接纳已持久化、候选开始前/Embedding 已启动、CPU 未结束/完整正文读取后、rerank/组包前时 HTTP 客户端主动断开，各独立请求。</v>
      </c>
      <c r="F143" s="3" t="str">
        <v>1. 断 TCP
2. 保持 Workers
3. 另一客户端查询原 ID。</v>
      </c>
      <c r="G143" s="3" t="str">
        <v>断开连接不等于取消业务，Workflow 按当前策略继续。保留原请求关联；未真正发送的包不能记为客户端已读。</v>
      </c>
      <c r="H143" s="17" t="str"/>
    </row>
    <row r="144" ht="60" customHeight="1">
      <c r="A144" s="3" t="str">
        <v>Temporal、HTTP 观察与恢复</v>
      </c>
      <c r="B144" s="15" t="str">
        <v>RC-ASY-03</v>
      </c>
      <c r="C144" s="16" t="str">
        <v>P0</v>
      </c>
      <c r="D144" s="3" t="str">
        <v>Temporal 不可达与新接纳</v>
      </c>
      <c r="E144" s="3" t="str">
        <v>Temporal 在本例环境不可达，HTTP 进程仍活。</v>
      </c>
      <c r="F144" s="3" t="str">
        <v>1. 断独有 Temporal 连接
2. live/readyz
3. 新 Recall。</v>
      </c>
      <c r="G144" s="3" t="str">
        <v>HTTP 进程可存活；readyz 返回 503 并暂停新接纳；不绕过 Temporal 接纳新的 Recall；在途任务依持久恢复证据观察，不因连接故障直接假定已失败。</v>
      </c>
      <c r="H144" s="17" t="str"/>
    </row>
    <row r="145" ht="75" customHeight="1">
      <c r="A145" s="3" t="str">
        <v>Temporal、HTTP 观察与恢复</v>
      </c>
      <c r="B145" s="15" t="str">
        <v>RC-ASY-04</v>
      </c>
      <c r="C145" s="16" t="str">
        <v>P0</v>
      </c>
      <c r="D145" s="3" t="str">
        <v>P3 在不同提交边界退出后的恢复</v>
      </c>
      <c r="E145" s="3" t="str">
        <v>分别在模型返回前、模型返回后提交前、Pack 提交后终止 P3；保存原 ID 和配置 binding。</v>
      </c>
      <c r="F145" s="3" t="str">
        <v>1. 各边界终止 P3
2. 使用原 binding 重启
3. 查询原 job
4. GET 原 Record/result。</v>
      </c>
      <c r="G145" s="3" t="str">
        <v>分类恢复原输入/任务/已提交包，不重复成功事实；未提交迟到结果须当前资格复核；启动不等任务完成。</v>
      </c>
      <c r="H145" s="17" t="str"/>
    </row>
    <row r="146" ht="60" customHeight="1">
      <c r="A146" s="3" t="str">
        <v>Temporal、HTTP 观察与恢复</v>
      </c>
      <c r="B146" s="15" t="str">
        <v>RC-ASY-05</v>
      </c>
      <c r="C146" s="16" t="str">
        <v>P0</v>
      </c>
      <c r="D146" s="3" t="str">
        <v>Worker 失租后的晚到提交</v>
      </c>
      <c r="E146" s="3" t="str">
        <v>Worker 旧租约已失，新 Worker 拿新 revision。</v>
      </c>
      <c r="F146" s="3" t="str">
        <v>1. 暂停旧 Worker 至失租
2. 让新 Worker 完成
3. 放回旧结果。</v>
      </c>
      <c r="G146" s="3" t="str">
        <v>拒绝旧 fence 的提交，不能覆盖新结果或终态。远端残留不因此成为合格投影；租约、重试和事件 ID 均有证据。</v>
      </c>
      <c r="H146" s="17" t="str"/>
    </row>
    <row r="147" ht="55.5" customHeight="1">
      <c r="A147" s="3" t="str">
        <v>Temporal、HTTP 观察与恢复</v>
      </c>
      <c r="B147" s="15" t="str">
        <v>RC-ASY-06</v>
      </c>
      <c r="C147" s="16" t="str">
        <v>P0</v>
      </c>
      <c r="D147" s="3" t="str">
        <v>执行预算与内容预算区分</v>
      </c>
      <c r="E147" s="3" t="str">
        <v>原 job 执行预算耗尽；另有小 token 预算请求。</v>
      </c>
      <c r="F147" s="3" t="str">
        <v>1. 分别触发执行 BUDGET_EXHAUSTED 和内容不足
2. 查看阶段/终态。</v>
      </c>
      <c r="G147" s="3" t="str">
        <v>执行 BUDGET_EXHAUSTED 与内容 BUDGET_TOO_SMALL 分别定位；超时不记为空；failed/no_effect 与持久事实一致。</v>
      </c>
      <c r="H147" s="17" t="str"/>
    </row>
    <row r="148" ht="60" customHeight="1">
      <c r="A148" s="3" t="str">
        <v>Temporal、HTTP 观察与恢复</v>
      </c>
      <c r="B148" s="15" t="str">
        <v>RC-ASY-07</v>
      </c>
      <c r="C148" s="16" t="str">
        <v>P0</v>
      </c>
      <c r="D148" s="3" t="str">
        <v>持久周期和 deployment 绑定</v>
      </c>
      <c r="E148" s="3" t="str">
        <v>原 Pack 已保存且有在途任务；固定 deployment/namespace/queue/periodic binding。</v>
      </c>
      <c r="F148" s="3" t="str">
        <v>1. 改本例持久 periodic 间隔重启
2. 恢复原配置重启
3. 原 ID 查询。</v>
      </c>
      <c r="G148" s="3" t="str">
        <v>绑定不一致明确拒绝/readyz503；恢复原绑定能接原任务，不生成新意图；改 request_timeout 不等修 periodic；不修改共享计划。</v>
      </c>
      <c r="H148" s="17" t="str"/>
    </row>
    <row r="149" ht="60" customHeight="1">
      <c r="A149" s="18" t="str">
        <v>并发竞态与资源</v>
      </c>
      <c r="B149" s="19" t="str">
        <v>RC-CON-01</v>
      </c>
      <c r="C149" s="20" t="str">
        <v>P0</v>
      </c>
      <c r="D149" s="18" t="str">
        <v>搜索后更正版本，新索引仍为 pending</v>
      </c>
      <c r="E149" s="18" t="str">
        <v>v2/g2 当前 Ready，旧投影仍在；在 Milvus 返回块后、qualify 前暂停；可更正至 v3 pending。</v>
      </c>
      <c r="F149" s="18" t="str">
        <v>1. 纠错提交 v3
2. 放行旧 hits
3. 最终核验。</v>
      </c>
      <c r="G149" s="18" t="str">
        <v>不能使用 v2 的高分交付 v3 正文、不回退旧版本；新 v3 未发布按真实覆盖处理；末端 guard 也须检查再次发生的版本变更。</v>
      </c>
      <c r="H149" s="21" t="str"/>
    </row>
    <row r="150" ht="60" customHeight="1">
      <c r="A150" s="3" t="str">
        <v>并发竞态与资源</v>
      </c>
      <c r="B150" s="15" t="str">
        <v>RC-CON-02</v>
      </c>
      <c r="C150" s="16" t="str">
        <v>P0</v>
      </c>
      <c r="D150" s="3" t="str">
        <v>各阶段删除与迟到投影</v>
      </c>
      <c r="E150" s="3" t="str">
        <v>Milvus 返回块后、qualify 前/qualify 完成、正文加载前/组包完成、final_guard 前各阶段 delete，另有迟到投影。</v>
      </c>
      <c r="F150" s="3" t="str">
        <v>1. 等屏障
2. delete 回执
3. 放行迟到 hit/投影/Recall。</v>
      </c>
      <c r="G150" s="3" t="str">
        <v>迟到投影不能复活已删记忆；新请求和结果重取均受墓碑约束；物理向量残留不改变资格；各阶段分别执行，不能只测一个时点。</v>
      </c>
      <c r="H150" s="17" t="str"/>
    </row>
    <row r="151" ht="60" customHeight="1">
      <c r="A151" s="3" t="str">
        <v>并发竞态与资源</v>
      </c>
      <c r="B151" s="15" t="str">
        <v>RC-CON-03</v>
      </c>
      <c r="C151" s="16" t="str">
        <v>P0</v>
      </c>
      <c r="D151" s="3" t="str">
        <v>排队、推理或组包期间撤权</v>
      </c>
      <c r="E151" s="3" t="str">
        <v>分别在接纳后排队、完整正文读取后重排前、CPU 推理中、组包完成守卫前暂停；可撤销 grant/权限。</v>
      </c>
      <c r="F151" s="3" t="str">
        <v>1. 每时点独立副本撤权
2. 放行
3. 检查模型输入/Pack。</v>
      </c>
      <c r="G151" s="3" t="str">
        <v>撤权前真实 read/已开始内核不可事后撤回，后续资格复验禁止新越权交付；完整正文读取后、rerank/组包前撤权禁止送模型；epoch 不在线程切换丢失。</v>
      </c>
      <c r="H151" s="17" t="str"/>
    </row>
    <row r="152" ht="60" customHeight="1">
      <c r="A152" s="3" t="str">
        <v>并发竞态与资源</v>
      </c>
      <c r="B152" s="15" t="str">
        <v>RC-CON-04</v>
      </c>
      <c r="C152" s="16" t="str">
        <v>P0</v>
      </c>
      <c r="D152" s="3" t="str">
        <v>关系变化覆盖各读取阶段</v>
      </c>
      <c r="E152" s="3" t="str">
        <v>关系在读取快照后/正文加载后/组包后分别新增成员。</v>
      </c>
      <c r="F152" s="3" t="str">
        <v>1. 同步发布 r2
2. 放行
3. 比较 guard/预算。</v>
      </c>
      <c r="G152" s="3" t="str">
        <v>发现 relations_revision 变化，按当前策略重组并重新计量或拒绝，不沿旧组提交、不无限重组；终态/重组次数未明确时标 blocked_requirement。</v>
      </c>
      <c r="H152" s="17" t="str"/>
    </row>
    <row r="153" ht="60" customHeight="1">
      <c r="A153" s="3" t="str">
        <v>并发竞态与资源</v>
      </c>
      <c r="B153" s="15" t="str">
        <v>RC-CON-05</v>
      </c>
      <c r="C153" s="16" t="str">
        <v>P0</v>
      </c>
      <c r="D153" s="3" t="str">
        <v>真实 PG 锁与事件循环心跳</v>
      </c>
      <c r="E153" s="3" t="str">
        <v>目标部署的真实独有 PG database，锁 owner、任务与心跳均可观察。</v>
      </c>
      <c r="F153" s="3" t="str">
        <v>1. 受控持锁 1 秒并记录 owner
2. 同时 Recall/heartbeat/health
3. 释放并查询原 job。</v>
      </c>
      <c r="G153" s="3" t="str">
        <v>无错误授权/成功，遵守原 deadline；记录最大 pulse gap、锁等待、heartbeat、剩余期限及原 job 终态。</v>
      </c>
      <c r="H153" s="17" t="str"/>
    </row>
    <row r="154" ht="75" customHeight="1">
      <c r="A154" s="3" t="str">
        <v>并发竞态与资源</v>
      </c>
      <c r="B154" s="15" t="str">
        <v>RC-CON-06</v>
      </c>
      <c r="C154" s="16" t="str">
        <v>P0</v>
      </c>
      <c r="D154" s="3" t="str">
        <v>并发请求的执行上下文隔离</v>
      </c>
      <c r="E154" s="3" t="str">
        <v>同 tenant/app 的不同 user/agent 并发请求；各自 scope/epoch/trace/deadline 不同；CPU 推理或重排存在异步边界。</v>
      </c>
      <c r="F154" s="3" t="str">
        <v>1. 在排队及推理期间交错两请求
2. 撤销其中一个请求的权限或使其期限届满
3. 放回两份计算输出
4. 检查阶段/提交上下文。</v>
      </c>
      <c r="G154" s="3" t="str">
        <v>主体/scope/trace/期限/fence 始终绑定各自请求；不能混淆主体、epoch 或正文；已失效请求晚到输出不成功提交，另一请求依自身资格正常处理。</v>
      </c>
      <c r="H154" s="17" t="str"/>
    </row>
    <row r="155" ht="60" customHeight="1">
      <c r="A155" s="3" t="str">
        <v>并发竞态与资源</v>
      </c>
      <c r="B155" s="15" t="str">
        <v>RC-CON-07</v>
      </c>
      <c r="C155" s="16" t="str">
        <v>P1</v>
      </c>
      <c r="D155" s="3" t="str">
        <v>独立操作并发与资源回收</v>
      </c>
      <c r="E155" s="3" t="str">
        <v>独立操作 ID 并发 1/N/N+1（N=已确认推理/连接容量），同与不同 scope。</v>
      </c>
      <c r="F155" s="3" t="str">
        <v>1. 同时提交并记录活跃资源
2. 撤其中一个权限
3. 全部收敛。</v>
      </c>
      <c r="G155" s="3" t="str">
        <v>无串正文、死锁、重复提交或越权；容量失败原因可查，资源最终回收；记录排队时间及终态。</v>
      </c>
      <c r="H155" s="17" t="str"/>
    </row>
    <row r="156" ht="60" customHeight="1">
      <c r="A156" s="3" t="str">
        <v>并发竞态与资源</v>
      </c>
      <c r="B156" s="15" t="str">
        <v>RC-CON-08</v>
      </c>
      <c r="C156" s="16" t="str">
        <v>P0</v>
      </c>
      <c r="D156" s="3" t="str">
        <v>热副本变动中的权威读取</v>
      </c>
      <c r="E156" s="3" t="str">
        <v>Recall 在 load 时 Redis 被本例 Operate 热副本替换/清理。</v>
      </c>
      <c r="F156" s="3" t="str">
        <v>1. 并发改缓存版本/删除副本
2. 读完整正文
3. final_guard。</v>
      </c>
      <c r="G156" s="3" t="str">
        <v>缓存变动不改变权威版本/授权；无混合新旧字节，hash/guard 匹配；回源/失败规则未明确时标 blocked_requirement。</v>
      </c>
      <c r="H156" s="17" t="str"/>
    </row>
    <row r="157" ht="60" customHeight="1">
      <c r="A157" s="3" t="str">
        <v>并发竞态与资源</v>
      </c>
      <c r="B157" s="15" t="str">
        <v>RC-CON-09</v>
      </c>
      <c r="C157" s="16" t="str">
        <v>P1</v>
      </c>
      <c r="D157" s="3" t="str">
        <v>到期边界与阶段跨时</v>
      </c>
      <c r="E157" s="3" t="str">
        <v>显式 expiry=t；在 t-ε/t/t+ε读取；权限 expiry 另变体。</v>
      </c>
      <c r="F157" s="3" t="str">
        <v>1. 固定可控服务时钟精度
2. 各阶段跨到期
3. 结果重取。</v>
      </c>
      <c r="G157" s="3" t="str">
        <v>t 前后资格按当前规则，最终 guard 跨到期不得发失效 Pack；t 等号与ε取值须约定，不用本机 sleep/时区猜测；未设 expiry 不受默认 TTL。</v>
      </c>
      <c r="H157" s="17" t="str"/>
    </row>
    <row r="158" ht="55.5" customHeight="1">
      <c r="A158" s="18" t="str">
        <v>后端与热副本依赖</v>
      </c>
      <c r="B158" s="19" t="str">
        <v>RC-DEP-01</v>
      </c>
      <c r="C158" s="20" t="str">
        <v>P0</v>
      </c>
      <c r="D158" s="18" t="str">
        <v>必需后端配置与连接失败</v>
      </c>
      <c r="E158" s="18" t="str">
        <v>PG/Milvus/Redis/Ceph 各自缺少一项实际必需的凭据或权限；TLS 后端另测 CA；独立环境。</v>
      </c>
      <c r="F158" s="18" t="str">
        <v>1. 逐依赖配置
2. check-config/serve/health/业务区分。</v>
      </c>
      <c r="G158" s="18" t="str">
        <v>必需依赖失败可定位，无错误成功或词法兜底；响应脱敏，不写入共享 public/schema。</v>
      </c>
      <c r="H158" s="21" t="str"/>
    </row>
    <row r="159" ht="55.5" customHeight="1">
      <c r="A159" s="3" t="str">
        <v>后端与热副本依赖</v>
      </c>
      <c r="B159" s="15" t="str">
        <v>RC-DEP-02</v>
      </c>
      <c r="C159" s="16" t="str">
        <v>P0</v>
      </c>
      <c r="D159" s="3" t="str">
        <v>TLS 证书和 SNI 校验</v>
      </c>
      <c r="E159" s="3" t="str">
        <v>当前 PG/Redis/Milvus TLS 连接：过期证书、错误 CA、错 hostname 或 SNI；正确连接为对照。</v>
      </c>
      <c r="F159" s="3" t="str">
        <v>1. 连接并发 Recall
2. 用正确证书作对照。</v>
      </c>
      <c r="G159" s="3" t="str">
        <v>校验证书链和服务名，拒绝不可信 TLS 连接，不能自动关闭校验或降为明文。正确配置应能完成 Recall；失败配置不能产生错误成功结果。</v>
      </c>
      <c r="H159" s="17" t="str"/>
    </row>
    <row r="160" ht="60" customHeight="1">
      <c r="A160" s="3" t="str">
        <v>后端与热副本依赖</v>
      </c>
      <c r="B160" s="15" t="str">
        <v>RC-DEP-03</v>
      </c>
      <c r="C160" s="16" t="str">
        <v>P1</v>
      </c>
      <c r="D160" s="3" t="str">
        <v>冷集合探针与首次业务</v>
      </c>
      <c r="E160" s="3" t="str">
        <v>新 Milvus 集合尚不存在；有/无创建加载权限两变体。</v>
      </c>
      <c r="F160" s="3" t="str">
        <v>1. 只探 health 记录 unknown
2. 首次实际投影/查询
3. 再看 health/Recall。</v>
      </c>
      <c r="G160" s="3" t="str">
        <v>探针只读且返回 unknown；有权限时首次业务准备/加载集合并校验结构，无权限时失败且不报 ready。</v>
      </c>
      <c r="H160" s="17" t="str"/>
    </row>
    <row r="161" ht="60" customHeight="1">
      <c r="A161" s="3" t="str">
        <v>后端与热副本依赖</v>
      </c>
      <c r="B161" s="15" t="str">
        <v>RC-DEP-04</v>
      </c>
      <c r="C161" s="16" t="str">
        <v>P0</v>
      </c>
      <c r="D161" s="3" t="str">
        <v>后端绑定不静默切换</v>
      </c>
      <c r="E161" s="3" t="str">
        <v>已有 binding；改 namespace/database/logical collection/space 之一。</v>
      </c>
      <c r="F161" s="3" t="str">
        <v>1. 独立候选启动/请求
2. 比较真实 provider binding 和原数据。</v>
      </c>
      <c r="G161" s="3" t="str">
        <v>拒绝不兼容的绑定，或要求明确迁移或使用新环境。不能只修改标签后查询空集，就认定迁移完成；不能泄露或清除原数据，也不能仅凭 profile 已修改认定隔离有效。</v>
      </c>
      <c r="H161" s="17" t="str"/>
    </row>
    <row r="162" ht="60" customHeight="1">
      <c r="A162" s="3" t="str">
        <v>后端与热副本依赖</v>
      </c>
      <c r="B162" s="15" t="str">
        <v>RC-DEP-05</v>
      </c>
      <c r="C162" s="16" t="str">
        <v>P0</v>
      </c>
      <c r="D162" s="3" t="str">
        <v>精准热副本和坏缓存</v>
      </c>
      <c r="E162" s="3" t="str">
        <v>分别准备 Redis 精确热副本、缺副本、旧版、错 hash、半正文；Ceph 权威正文完整。</v>
      </c>
      <c r="F162" s="3" t="str">
        <v>1. 确认缓存状态
2. Recall
3. 检查权威 read/最终 Pack。</v>
      </c>
      <c r="G162" s="3" t="str">
        <v>不交错版本、坏摘要或半正文；按确认策略从 Ceph 精确引用回源或失败；回源规则未明确时标 blocked_requirement。</v>
      </c>
      <c r="H162" s="17" t="str"/>
    </row>
    <row r="163" ht="60" customHeight="1">
      <c r="A163" s="3" t="str">
        <v>后端与热副本依赖</v>
      </c>
      <c r="B163" s="15" t="str">
        <v>RC-DEP-06</v>
      </c>
      <c r="C163" s="16" t="str">
        <v>P1</v>
      </c>
      <c r="D163" s="3" t="str">
        <v>缓存 scope 配额与 Recall 输出</v>
      </c>
      <c r="E163" s="3" t="str">
        <v>Redis scope 配额 C=min(两配置)；完整副本大小 C-1/C/C+1；准备并发副本，Ceph 正文完整。</v>
      </c>
      <c r="F163" s="3" t="str">
        <v>1. 准备本例缓存准入
2. Recall
3. 比较权威正文与准入状态。</v>
      </c>
      <c r="G163" s="3" t="str">
        <v>按完整 scope 原子计量配额，不使用实例总容量；缓存拒绝后仍保证 Pack 完整正确；回源/失败规则未明确时标 blocked_requirement。</v>
      </c>
      <c r="H163" s="17" t="str"/>
    </row>
    <row r="164" ht="60" customHeight="1">
      <c r="A164" s="3" t="str">
        <v>后端与热副本依赖</v>
      </c>
      <c r="B164" s="15" t="str">
        <v>RC-DEP-07</v>
      </c>
      <c r="C164" s="16" t="str">
        <v>P0</v>
      </c>
      <c r="D164" s="3" t="str">
        <v>后端断连恢复各阶段</v>
      </c>
      <c r="E164" s="3" t="str">
        <v>独有 Milvus/Ceph/PG 连接在 search/read/commit 阶段断后恢复。</v>
      </c>
      <c r="F164" s="3" t="str">
        <v>1. 各阶段单依赖断连
2. 保留原 ID
3. 恢复查询、新业务对照。</v>
      </c>
      <c r="G164" s="3" t="str">
        <v>来源/读取/提交故障分别真实定位；恢复后仍复验当前版本/授权，不能旧 Pack 冒充新成功；Milvus 重启需实际 collection 加载证据。</v>
      </c>
      <c r="H164" s="17" t="str"/>
    </row>
    <row r="165" ht="55.5" customHeight="1">
      <c r="A165" s="18" t="str">
        <v>Recall 事实与下游事件</v>
      </c>
      <c r="B165" s="19" t="str">
        <v>RC-EVT-01</v>
      </c>
      <c r="C165" s="20" t="str">
        <v>P0</v>
      </c>
      <c r="D165" s="18" t="str">
        <v>候选资格不得计正文 read</v>
      </c>
      <c r="E165" s="18" t="str">
        <v>多块 hits/qualify 成功但不 load（后续故障）。</v>
      </c>
      <c r="F165" s="18" t="str">
        <v>1. 让请求止于候选
2. 只读查看 read/packed/热度输入水位。</v>
      </c>
      <c r="G165" s="18" t="str">
        <v>候选和资格检查不产生正文成功 read/热度；不能以 chunk 数增热；若已发生 body read 须按实际阶段另算。</v>
      </c>
      <c r="H165" s="21" t="str"/>
    </row>
    <row r="166" ht="55.5" customHeight="1">
      <c r="A166" s="3" t="str">
        <v>Recall 事实与下游事件</v>
      </c>
      <c r="B166" s="15" t="str">
        <v>RC-EVT-02</v>
      </c>
      <c r="C166" s="16" t="str">
        <v>P0</v>
      </c>
      <c r="D166" s="3" t="str">
        <v>重复精确 Ref 读取计热去重</v>
      </c>
      <c r="E166" s="3" t="str">
        <v>同 recall、同精确 Ref 重复加载/多块/重试。</v>
      </c>
      <c r="F166" s="3" t="str">
        <v>1. 制造重复读取
2. 检查事件与 Operate 接口原输入。</v>
      </c>
      <c r="G166" s="3" t="str">
        <v>成功 read 按该 Ref 版本只计一次热度；read/packed/delivered 不重复累加；事件类型、原 event ID/水位可追溯。</v>
      </c>
      <c r="H166" s="17" t="str"/>
    </row>
    <row r="167" ht="75" customHeight="1">
      <c r="A167" s="3" t="str">
        <v>Recall 事实与下游事件</v>
      </c>
      <c r="B167" s="15" t="str">
        <v>RC-EVT-03</v>
      </c>
      <c r="C167" s="16" t="str">
        <v>P0</v>
      </c>
      <c r="D167" s="3" t="str">
        <v>读过但未入包的条目及 packed/delivered 记录</v>
      </c>
      <c r="E167" s="3" t="str">
        <v>读取成功但预算排除；另一条入包；结果与 Outbox 提交后、HTTP 发送前丢发送。</v>
      </c>
      <c r="F167" s="3" t="str">
        <v>1. 固定 S 可装、H 超预算
2. 读取后组包
3. 在 HTTP 发送前丢响应
4. 核对 read/packed/delivered。</v>
      </c>
      <c r="G167" s="3" t="str">
        <v>已读但未入包的条目保留 read，没有 packed；入包条目有 packed。delivered 只表示已交给传输层，不表示客户端已阅读或 LLM 已采用。</v>
      </c>
      <c r="H167" s="17" t="str"/>
    </row>
    <row r="168" ht="60" customHeight="1">
      <c r="A168" s="3" t="str">
        <v>Recall 事实与下游事件</v>
      </c>
      <c r="B168" s="15" t="str">
        <v>RC-EVT-04</v>
      </c>
      <c r="C168" s="16" t="str">
        <v>P0</v>
      </c>
      <c r="D168" s="3" t="str">
        <v>Outbox 提交后退出重投</v>
      </c>
      <c r="E168" s="3" t="str">
        <v>Pack+Outbox 提交后、投递前退出。</v>
      </c>
      <c r="F168" s="3" t="str">
        <v>1. 结果和 Outbox 提交后、投递前退出
2. 重启
3. 检查重投及下游 Inbox。</v>
      </c>
      <c r="G168" s="3" t="str">
        <v>使用原 event_id 重投，已 commit 的事实不丢失。下游对至少一次投递去重，不能重新生成不同 event 造成重复效果。</v>
      </c>
      <c r="H168" s="17" t="str"/>
    </row>
    <row r="169" ht="55.5" customHeight="1">
      <c r="A169" s="3" t="str">
        <v>Recall 事实与下游事件</v>
      </c>
      <c r="B169" s="15" t="str">
        <v>RC-EVT-05</v>
      </c>
      <c r="C169" s="16" t="str">
        <v>P0</v>
      </c>
      <c r="D169" s="3" t="str">
        <v>消费已提交 ACK 丢失去重</v>
      </c>
      <c r="E169" s="3" t="str">
        <v>下游消费效果已提交，在 ACK 前丢弃确认。</v>
      </c>
      <c r="F169" s="3" t="str">
        <v>1. 重投原 read/packed 事件
2. 检查 Inbox/热度输入水位。</v>
      </c>
      <c r="G169" s="3" t="str">
        <v>Inbox 与消费效果原子提交；原事件重投获确认但不再次计热。</v>
      </c>
      <c r="H169" s="17" t="str"/>
    </row>
    <row r="170" ht="60" customHeight="1">
      <c r="A170" s="3" t="str">
        <v>Recall 事实与下游事件</v>
      </c>
      <c r="B170" s="15" t="str">
        <v>RC-EVT-06</v>
      </c>
      <c r="C170" s="16" t="str">
        <v>P1</v>
      </c>
      <c r="D170" s="3" t="str">
        <v>跨版本读取与结果重取的事件语义</v>
      </c>
      <c r="E170" s="3" t="str">
        <v>同 recall、同 ID 两个版本均合法读成功；成功原 Pack 可重复 GET result。</v>
      </c>
      <c r="F170" s="3" t="str">
        <v>1. 按批准场景读两版本
2. 重复 GET 已保存结果
3. 观察 read 与 delivery。</v>
      </c>
      <c r="G170" s="3" t="str">
        <v>同精确版本重复读取去重；跨版本/GET result 的 read/delivery 键与计热规则未明确时标 blocked_requirement。</v>
      </c>
      <c r="H170" s="17" t="str"/>
    </row>
    <row r="171" ht="60" customHeight="1">
      <c r="A171" s="3" t="str">
        <v>Recall 事实与下游事件</v>
      </c>
      <c r="B171" s="15" t="str">
        <v>RC-EVT-07</v>
      </c>
      <c r="C171" s="16" t="str">
        <v>P1</v>
      </c>
      <c r="D171" s="3" t="str">
        <v>下游不可用 Outbox 积压</v>
      </c>
      <c r="E171" s="3" t="str">
        <v>下游 Operate 暂不可达/慢，Recall 已 commit 事实。</v>
      </c>
      <c r="F171" s="3" t="str">
        <v>1. 停本例消费者或隔离其连接
2. Recall
3. 恢复投递。</v>
      </c>
      <c r="G171" s="3" t="str">
        <v>已提交事实/Outbox 持久，积压可查；恢复投递不重复消费；下游等待对前台终态的影响未明确时标 blocked_requirement。</v>
      </c>
      <c r="H171" s="17" t="str"/>
    </row>
    <row r="172" ht="60" customHeight="1">
      <c r="A172" s="18" t="str">
        <v>健康与诊断</v>
      </c>
      <c r="B172" s="19" t="str">
        <v>RC-OBS-01</v>
      </c>
      <c r="C172" s="20" t="str">
        <v>P1</v>
      </c>
      <c r="D172" s="18" t="str">
        <v>Trace 阶段和请求关联</v>
      </c>
      <c r="E172" s="18" t="str">
        <v>正常、单路故障、预算不足、guard 失效各一请求。</v>
      </c>
      <c r="F172" s="18" t="str">
        <v>1. 同 scope、有 READ+DIAGNOSE 的诊断身份查受控 Trace/阶段
2. 对照原 operation/job/recall。</v>
      </c>
      <c r="G172" s="18" t="str">
        <v>Trace 正确关联编码/候选/资格/读取/融合/重排/预算/guard/终态及原 operation/job/recall；故障不记为正常空；字段映射未明确时标 blocked_requirement。</v>
      </c>
      <c r="H172" s="21" t="str"/>
    </row>
    <row r="173" ht="55.5" customHeight="1">
      <c r="A173" s="3" t="str">
        <v>健康与诊断</v>
      </c>
      <c r="B173" s="15" t="str">
        <v>RC-OBS-02</v>
      </c>
      <c r="C173" s="16" t="str">
        <v>P0</v>
      </c>
      <c r="D173" s="3" t="str">
        <v>日志响应秘密与正文隔离</v>
      </c>
      <c r="E173" s="3" t="str">
        <v>query/body/header 放无敏感 canary；故障异常堆栈。</v>
      </c>
      <c r="F173" s="3" t="str">
        <v>1. 运行与失败
2. 检查普通响应、技术日志、诊断权限。</v>
      </c>
      <c r="G173" s="3" t="str">
        <v>不默认输出正文、Bearer、DSN 密码、model key；普通调用方无受限 ID/计数；摘要不能轻易泄露完整秘密。</v>
      </c>
      <c r="H173" s="17" t="str"/>
    </row>
    <row r="174" ht="55.5" customHeight="1">
      <c r="A174" s="3" t="str">
        <v>健康与诊断</v>
      </c>
      <c r="B174" s="15" t="str">
        <v>RC-OBS-03</v>
      </c>
      <c r="C174" s="16" t="str">
        <v>P1</v>
      </c>
      <c r="D174" s="3" t="str">
        <v>重排 tokenizer 健康状态</v>
      </c>
      <c r="E174" s="3" t="str">
        <v>rerank disabled/unknown/loaded/required 不可用；tokenizer 未加载。</v>
      </c>
      <c r="F174" s="3" t="str">
        <v>1. 各状态真实探测
2. 对照实际模型调用/能力。</v>
      </c>
      <c r="G174" s="3" t="str">
        <v>健康状态准确区分 disabled、unknown 和可用。必需重排不可用时，不能报告完整召回能力可用；尚未加载时不能只凭配置报告可用。</v>
      </c>
      <c r="H174" s="17" t="str"/>
    </row>
    <row r="175" ht="60" customHeight="1">
      <c r="A175" s="3" t="str">
        <v>健康与诊断</v>
      </c>
      <c r="B175" s="15" t="str">
        <v>RC-OBS-04</v>
      </c>
      <c r="C175" s="16" t="str">
        <v>P0</v>
      </c>
      <c r="D175" s="3" t="str">
        <v>健康检查末端的 PG 读取与并发</v>
      </c>
      <c r="E175" s="3" t="str">
        <v>慢 PG 锁下 health/runtime 与 Recall 并发。</v>
      </c>
      <c r="F175" s="3" t="str">
        <v>1. 持本例锁
2. 发诊断/Recall
3. 释放并查心跳。</v>
      </c>
      <c r="G175" s="3" t="str">
        <v>健康读取保持正确上下文，失败可定位、无越权；并发 Recall 不错误成功或失心跳；记录实际等待/心跳/终态。</v>
      </c>
      <c r="H175" s="17" t="str"/>
    </row>
    <row r="176" ht="90" customHeight="1">
      <c r="A176" s="18" t="str">
        <v>真实 Recall 全链与恢复</v>
      </c>
      <c r="B176" s="19" t="str">
        <v>RC-E2E-01</v>
      </c>
      <c r="C176" s="20" t="str">
        <v>P0</v>
      </c>
      <c r="D176" s="18" t="str">
        <v>真实依赖下 Recall 完整链与恢复</v>
      </c>
      <c r="E176" s="18" t="str">
        <v>固定目标源码 SHA/镜像，当前真实四后端与 Temporal；本例 PG 锁/阶段可观察。</v>
      </c>
      <c r="F176" s="18" t="str">
        <v>1. 通过 Remember 保存并确认 Working Ready
2. working Recall 沿原 job 观测
3. 准备长期 Ready 并独立 long_term Recall
4. GET 原 result
5. 重启本例 P3 后重取，并再发新 Recall。</v>
      </c>
      <c r="G176" s="18" t="str">
        <v>新请求收敛并交付完整合格正文；恢复原结果仍复验资格；各阶段/终态证据齐全，无心跳丢失、锁等待失控或 assemble 故障。</v>
      </c>
      <c r="H176" s="21" t="str"/>
    </row>
    <row r="177" ht="55.5" customHeight="1">
      <c r="A177" s="18" t="str">
        <v>配置与路径绑定</v>
      </c>
      <c r="B177" s="19" t="str">
        <v>RC-CFG-01</v>
      </c>
      <c r="C177" s="20" t="str">
        <v>P1</v>
      </c>
      <c r="D177" s="18" t="str">
        <v>配置未知字段及重排冲突</v>
      </c>
      <c r="E177" s="18" t="str">
        <v>Recall 配置未知键、不一致 rerank 参数，合法配置对照。</v>
      </c>
      <c r="F177" s="18" t="str">
        <v>1. 逐字段修改独立配置
2. check-config 与 serve。</v>
      </c>
      <c r="G177" s="18" t="str">
        <v>拒绝未知配置字段和不一致的重排参数，不能忽略后导致策略与阶段记录不符。字段名以当前模板为准。</v>
      </c>
      <c r="H177" s="21" t="str"/>
    </row>
    <row r="178" ht="55.5" customHeight="1">
      <c r="A178" s="3" t="str">
        <v>配置与路径绑定</v>
      </c>
      <c r="B178" s="15" t="str">
        <v>RC-CFG-02</v>
      </c>
      <c r="C178" s="16" t="str">
        <v>P0</v>
      </c>
      <c r="D178" s="3" t="str">
        <v>Azure 拒第二套 Milvus 连接</v>
      </c>
      <c r="E178" s="3" t="str">
        <v>Azure 模式 service 有 Milvus binding，Recall 配置又给第二套 Milvus 连接。</v>
      </c>
      <c r="F178" s="3" t="str">
        <v>1. 独立配置同时指定
2. 启动与 binding 诊断。</v>
      </c>
      <c r="G178" s="3" t="str">
        <v>明确拒绝第二套配置，防止 B 写入与 A 搜索连接不同数据库。错误可定位，不能用某个配置静默覆盖另一个。</v>
      </c>
      <c r="H178" s="17" t="str"/>
    </row>
    <row r="179" ht="55.5" customHeight="1">
      <c r="A179" s="3" t="str">
        <v>配置与路径绑定</v>
      </c>
      <c r="B179" s="15" t="str">
        <v>RC-CFG-03</v>
      </c>
      <c r="C179" s="16" t="str">
        <v>P1</v>
      </c>
      <c r="D179" s="3" t="str">
        <v>相对路径和容器模型挂载</v>
      </c>
      <c r="E179" s="3" t="str">
        <v>service 文件相对身份/Recall/Embedding/CA 路径；模型路径独立规则。</v>
      </c>
      <c r="F179" s="3" t="str">
        <v>1. 同一配置从两个 cwd 启动
2. 容器挂载绝对路径对照。</v>
      </c>
      <c r="G179" s="3" t="str">
        <v>service 路径按配置目录解析，模型按后端实际规则；不能因 cwd 不同而误读另一身份或模型；只读模型与可写缓存分开，缺路径明确失败。</v>
      </c>
      <c r="H179" s="17" t="str"/>
    </row>
  </sheetData>
  <conditionalFormatting sqref="C2:C179">
    <cfRule type="expression" dxfId="0" priority="1">
      <formula>$C2="P0"</formula>
    </cfRule>
    <cfRule type="expression" dxfId="1" priority="2">
      <formula>$C2="P1"</formula>
    </cfRule>
    <cfRule type="expression" dxfId="2" priority="3">
      <formula>$C2="P2"</formula>
    </cfRule>
  </conditionalFormatting>
  <pageMargins left="0.7" right="0.7" top="0.75" bottom="0.75" header="0.3" footer="0.3"/>
  <tableParts count="1">
    <tablePart r:id="Rd88f6483a0624fdd"/>
  </tableParts>
</worksheet>
</file>